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ster_Training_Telemetry" sheetId="1" state="visible" r:id="rId1"/>
    <sheet xmlns:r="http://schemas.openxmlformats.org/officeDocument/2006/relationships" name="CS14_Physical_Audit" sheetId="2" state="visible" r:id="rId2"/>
    <sheet xmlns:r="http://schemas.openxmlformats.org/officeDocument/2006/relationships" name="Knowledge_Incorporation_Bench" sheetId="3" state="visible" r:id="rId3"/>
    <sheet xmlns:r="http://schemas.openxmlformats.org/officeDocument/2006/relationships" name="Continual_Retention_Progression" sheetId="4" state="visible" r:id="rId4"/>
    <sheet xmlns:r="http://schemas.openxmlformats.org/officeDocument/2006/relationships" name="Governance_Entropy_Evaluation" sheetId="5" state="visible" r:id="rId5"/>
    <sheet xmlns:r="http://schemas.openxmlformats.org/officeDocument/2006/relationships" name="CS15_Physical_Audit" sheetId="6" state="visible" r:id="rId6"/>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FFFFFF"/>
      <sz val="11"/>
    </font>
    <font>
      <name val="Calibri"/>
      <b val="1"/>
      <color rgb="001F497D"/>
      <sz val="10"/>
    </font>
    <font>
      <name val="Calibri"/>
      <b val="1"/>
      <color rgb="009C0006"/>
      <sz val="10"/>
    </font>
    <font>
      <name val="Calibri"/>
      <b val="1"/>
      <color rgb="00B25E00"/>
      <sz val="10"/>
    </font>
    <font>
      <name val="Calibri"/>
      <b val="1"/>
      <color rgb="00276A3C"/>
      <sz val="10"/>
    </font>
    <font>
      <name val="Calibri"/>
      <b val="1"/>
      <color rgb="001F497D"/>
      <sz val="11"/>
    </font>
    <font>
      <name val="Calibri"/>
      <sz val="9.5"/>
    </font>
    <font>
      <name val="Calibri"/>
      <b val="1"/>
      <color rgb="00FFFFFF"/>
      <sz val="10"/>
    </font>
    <font>
      <name val="Calibri"/>
      <sz val="10"/>
    </font>
  </fonts>
  <fills count="8">
    <fill>
      <patternFill/>
    </fill>
    <fill>
      <patternFill patternType="gray125"/>
    </fill>
    <fill>
      <patternFill patternType="solid">
        <fgColor rgb="001F497D"/>
        <bgColor rgb="001F497D"/>
      </patternFill>
    </fill>
    <fill>
      <patternFill patternType="solid">
        <fgColor rgb="00EBF1F5"/>
        <bgColor rgb="00EBF1F5"/>
      </patternFill>
    </fill>
    <fill>
      <patternFill patternType="solid">
        <fgColor rgb="00FFC7CE"/>
        <bgColor rgb="00FFC7CE"/>
      </patternFill>
    </fill>
    <fill>
      <patternFill patternType="solid">
        <fgColor rgb="00FFF2CC"/>
        <bgColor rgb="00FFF2CC"/>
      </patternFill>
    </fill>
    <fill>
      <patternFill patternType="solid">
        <fgColor rgb="00E2EFDA"/>
        <bgColor rgb="00E2EFDA"/>
      </patternFill>
    </fill>
    <fill>
      <patternFill patternType="solid">
        <fgColor rgb="00366092"/>
        <bgColor rgb="0036609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5">
    <xf numFmtId="0" fontId="0" fillId="0" borderId="0" pivotButton="0" quotePrefix="0" xfId="0"/>
    <xf numFmtId="0" fontId="1" fillId="2" borderId="1" applyAlignment="1" pivotButton="0" quotePrefix="0" xfId="0">
      <alignment horizontal="center" vertical="center"/>
    </xf>
    <xf numFmtId="0" fontId="0" fillId="3" borderId="1" applyAlignment="1" pivotButton="0" quotePrefix="0" xfId="0">
      <alignment horizontal="center" vertical="center"/>
    </xf>
    <xf numFmtId="0" fontId="0" fillId="0" borderId="1" applyAlignment="1" pivotButton="0" quotePrefix="0" xfId="0">
      <alignment horizontal="center" vertical="center"/>
    </xf>
    <xf numFmtId="0" fontId="2" fillId="3"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5" fillId="0" borderId="1" applyAlignment="1" pivotButton="0" quotePrefix="0" xfId="0">
      <alignment horizontal="center" vertical="center"/>
    </xf>
    <xf numFmtId="0" fontId="5" fillId="6" borderId="1" applyAlignment="1" pivotButton="0" quotePrefix="0" xfId="0">
      <alignment horizontal="center" vertical="center"/>
    </xf>
    <xf numFmtId="0" fontId="5" fillId="3" borderId="1" applyAlignment="1" pivotButton="0" quotePrefix="0" xfId="0">
      <alignment horizontal="center" vertical="center"/>
    </xf>
    <xf numFmtId="0" fontId="6" fillId="0" borderId="0" pivotButton="0" quotePrefix="0" xfId="0"/>
    <xf numFmtId="0" fontId="7" fillId="0" borderId="0" applyAlignment="1" pivotButton="0" quotePrefix="0" xfId="0">
      <alignment horizontal="left" vertical="top" wrapText="1"/>
    </xf>
    <xf numFmtId="0" fontId="8" fillId="7" borderId="0" applyAlignment="1" pivotButton="0" quotePrefix="0" xfId="0">
      <alignment horizontal="center" vertical="center"/>
    </xf>
    <xf numFmtId="0" fontId="9" fillId="0" borderId="1" applyAlignment="1" pivotButton="0" quotePrefix="0" xfId="0">
      <alignment horizontal="center" vertical="center"/>
    </xf>
    <xf numFmtId="0" fontId="9" fillId="0"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Training Loss Dynamics Across Case Studies (Start vs Final)</a:t>
            </a:r>
          </a:p>
        </rich>
      </tx>
    </title>
    <plotArea>
      <barChart>
        <barDir val="col"/>
        <grouping val="clustered"/>
        <ser>
          <idx val="0"/>
          <order val="0"/>
          <tx>
            <strRef>
              <f>'Master_Training_Telemetry'!C1</f>
            </strRef>
          </tx>
          <spPr>
            <a:ln xmlns:a="http://schemas.openxmlformats.org/drawingml/2006/main">
              <a:prstDash val="solid"/>
            </a:ln>
          </spPr>
          <cat>
            <numRef>
              <f>'Master_Training_Telemetry'!$A$2:$A$16</f>
            </numRef>
          </cat>
          <val>
            <numRef>
              <f>'Master_Training_Telemetry'!$C$2:$C$16</f>
            </numRef>
          </val>
        </ser>
        <ser>
          <idx val="1"/>
          <order val="1"/>
          <tx>
            <strRef>
              <f>'Master_Training_Telemetry'!D1</f>
            </strRef>
          </tx>
          <spPr>
            <a:ln xmlns:a="http://schemas.openxmlformats.org/drawingml/2006/main">
              <a:prstDash val="solid"/>
            </a:ln>
          </spPr>
          <cat>
            <numRef>
              <f>'Master_Training_Telemetry'!$A$2:$A$16</f>
            </numRef>
          </cat>
          <val>
            <numRef>
              <f>'Master_Training_Telemetry'!$D$2:$D$16</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Case Study</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Cross-Entropy Loss</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11"/>
  <chart>
    <title>
      <tx>
        <rich>
          <a:bodyPr xmlns:a="http://schemas.openxmlformats.org/drawingml/2006/main"/>
          <a:p xmlns:a="http://schemas.openxmlformats.org/drawingml/2006/main">
            <a:pPr>
              <a:defRPr/>
            </a:pPr>
            <a:r>
              <a:t>CS14 Pre- vs Post-Adaptation Response Perplexity</a:t>
            </a:r>
          </a:p>
        </rich>
      </tx>
    </title>
    <plotArea>
      <barChart>
        <barDir val="col"/>
        <grouping val="clustered"/>
        <ser>
          <idx val="0"/>
          <order val="0"/>
          <tx>
            <strRef>
              <f>'CS14_Physical_Audit'!B10</f>
            </strRef>
          </tx>
          <spPr>
            <a:ln xmlns:a="http://schemas.openxmlformats.org/drawingml/2006/main">
              <a:prstDash val="solid"/>
            </a:ln>
          </spPr>
          <cat>
            <numRef>
              <f>'CS14_Physical_Audit'!$A$11:$A$12</f>
            </numRef>
          </cat>
          <val>
            <numRef>
              <f>'CS14_Physical_Audit'!$B$11:$B$12</f>
            </numRef>
          </val>
        </ser>
        <ser>
          <idx val="1"/>
          <order val="1"/>
          <tx>
            <strRef>
              <f>'CS14_Physical_Audit'!C10</f>
            </strRef>
          </tx>
          <spPr>
            <a:ln xmlns:a="http://schemas.openxmlformats.org/drawingml/2006/main">
              <a:prstDash val="solid"/>
            </a:ln>
          </spPr>
          <cat>
            <numRef>
              <f>'CS14_Physical_Audit'!$A$11:$A$12</f>
            </numRef>
          </cat>
          <val>
            <numRef>
              <f>'CS14_Physical_Audit'!$C$11:$C$12</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Evaluated Test Suite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Perplexity (Lower is Better)</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12"/>
  <chart>
    <title>
      <tx>
        <rich>
          <a:bodyPr xmlns:a="http://schemas.openxmlformats.org/drawingml/2006/main"/>
          <a:p xmlns:a="http://schemas.openxmlformats.org/drawingml/2006/main">
            <a:pPr>
              <a:defRPr/>
            </a:pPr>
            <a:r>
              <a:t>Knowledge Incorporation Accuracy Across Passage Regimes (%)</a:t>
            </a:r>
          </a:p>
        </rich>
      </tx>
    </title>
    <plotArea>
      <barChart>
        <barDir val="col"/>
        <grouping val="clustered"/>
        <ser>
          <idx val="0"/>
          <order val="0"/>
          <tx>
            <strRef>
              <f>'Knowledge_Incorporation_Bench'!B1</f>
            </strRef>
          </tx>
          <spPr>
            <a:ln xmlns:a="http://schemas.openxmlformats.org/drawingml/2006/main">
              <a:prstDash val="solid"/>
            </a:ln>
          </spPr>
          <cat>
            <numRef>
              <f>'Knowledge_Incorporation_Bench'!$A$2:$A$6</f>
            </numRef>
          </cat>
          <val>
            <numRef>
              <f>'Knowledge_Incorporation_Bench'!$B$2:$B$6</f>
            </numRef>
          </val>
        </ser>
        <ser>
          <idx val="1"/>
          <order val="1"/>
          <tx>
            <strRef>
              <f>'Knowledge_Incorporation_Bench'!C1</f>
            </strRef>
          </tx>
          <spPr>
            <a:ln xmlns:a="http://schemas.openxmlformats.org/drawingml/2006/main">
              <a:prstDash val="solid"/>
            </a:ln>
          </spPr>
          <cat>
            <numRef>
              <f>'Knowledge_Incorporation_Bench'!$A$2:$A$6</f>
            </numRef>
          </cat>
          <val>
            <numRef>
              <f>'Knowledge_Incorporation_Bench'!$C$2:$C$6</f>
            </numRef>
          </val>
        </ser>
        <ser>
          <idx val="2"/>
          <order val="2"/>
          <tx>
            <strRef>
              <f>'Knowledge_Incorporation_Bench'!D1</f>
            </strRef>
          </tx>
          <spPr>
            <a:ln xmlns:a="http://schemas.openxmlformats.org/drawingml/2006/main">
              <a:prstDash val="solid"/>
            </a:ln>
          </spPr>
          <cat>
            <numRef>
              <f>'Knowledge_Incorporation_Bench'!$A$2:$A$6</f>
            </numRef>
          </cat>
          <val>
            <numRef>
              <f>'Knowledge_Incorporation_Bench'!$D$2:$D$6</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Method</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Downstream QA Accuracy (%)</a:t>
                </a:r>
              </a:p>
            </rich>
          </tx>
        </title>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10"/>
  <chart>
    <title>
      <tx>
        <rich>
          <a:bodyPr xmlns:a="http://schemas.openxmlformats.org/drawingml/2006/main"/>
          <a:p xmlns:a="http://schemas.openxmlformats.org/drawingml/2006/main">
            <a:pPr>
              <a:defRPr/>
            </a:pPr>
            <a:r>
              <a:t>Governance Plane: High-Entropy Sum (HES) &amp; Mean Entropy by Prompt</a:t>
            </a:r>
          </a:p>
        </rich>
      </tx>
    </title>
    <plotArea>
      <barChart>
        <barDir val="col"/>
        <grouping val="clustered"/>
        <ser>
          <idx val="0"/>
          <order val="0"/>
          <tx>
            <strRef>
              <f>'Governance_Entropy_Evaluation'!D1</f>
            </strRef>
          </tx>
          <spPr>
            <a:ln xmlns:a="http://schemas.openxmlformats.org/drawingml/2006/main">
              <a:prstDash val="solid"/>
            </a:ln>
          </spPr>
          <cat>
            <numRef>
              <f>'Governance_Entropy_Evaluation'!$A$2:$A$11</f>
            </numRef>
          </cat>
          <val>
            <numRef>
              <f>'Governance_Entropy_Evaluation'!$D$2:$D$11</f>
            </numRef>
          </val>
        </ser>
        <ser>
          <idx val="1"/>
          <order val="1"/>
          <tx>
            <strRef>
              <f>'Governance_Entropy_Evaluation'!E1</f>
            </strRef>
          </tx>
          <spPr>
            <a:ln xmlns:a="http://schemas.openxmlformats.org/drawingml/2006/main">
              <a:prstDash val="solid"/>
            </a:ln>
          </spPr>
          <cat>
            <numRef>
              <f>'Governance_Entropy_Evaluation'!$A$2:$A$11</f>
            </numRef>
          </cat>
          <val>
            <numRef>
              <f>'Governance_Entropy_Evaluation'!$E$2:$E$11</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Evaluated Prompts</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Entropy (Bits)</a:t>
                </a:r>
              </a:p>
            </rich>
          </tx>
        </title>
        <majorTickMark val="none"/>
        <minorTickMark val="none"/>
        <crossAx val="10"/>
      </valAx>
    </plotArea>
    <legend>
      <legendPos val="r"/>
    </legend>
    <plotVisOnly val="1"/>
    <dispBlanksAs val="gap"/>
  </chart>
</chartSpace>
</file>

<file path=xl/charts/chart5.xml><?xml version="1.0" encoding="utf-8"?>
<chartSpace xmlns="http://schemas.openxmlformats.org/drawingml/2006/chart">
  <style val="11"/>
  <chart>
    <title>
      <tx>
        <rich>
          <a:bodyPr xmlns:a="http://schemas.openxmlformats.org/drawingml/2006/main"/>
          <a:p xmlns:a="http://schemas.openxmlformats.org/drawingml/2006/main">
            <a:pPr>
              <a:defRPr/>
            </a:pPr>
            <a:r>
              <a:t>CS15 Pre- vs Post-Adaptation Response Perplexity (Physical GPU Audit)</a:t>
            </a:r>
          </a:p>
        </rich>
      </tx>
    </title>
    <plotArea>
      <barChart>
        <barDir val="col"/>
        <grouping val="clustered"/>
        <ser>
          <idx val="0"/>
          <order val="0"/>
          <tx>
            <strRef>
              <f>'CS15_Physical_Audit'!B16</f>
            </strRef>
          </tx>
          <spPr>
            <a:ln xmlns:a="http://schemas.openxmlformats.org/drawingml/2006/main">
              <a:prstDash val="solid"/>
            </a:ln>
          </spPr>
          <cat>
            <numRef>
              <f>'CS15_Physical_Audit'!$A$17:$A$20</f>
            </numRef>
          </cat>
          <val>
            <numRef>
              <f>'CS15_Physical_Audit'!$B$17:$B$20</f>
            </numRef>
          </val>
        </ser>
        <ser>
          <idx val="1"/>
          <order val="1"/>
          <tx>
            <strRef>
              <f>'CS15_Physical_Audit'!C16</f>
            </strRef>
          </tx>
          <spPr>
            <a:ln xmlns:a="http://schemas.openxmlformats.org/drawingml/2006/main">
              <a:prstDash val="solid"/>
            </a:ln>
          </spPr>
          <cat>
            <numRef>
              <f>'CS15_Physical_Audit'!$A$17:$A$20</f>
            </numRef>
          </cat>
          <val>
            <numRef>
              <f>'CS15_Physical_Audit'!$C$17:$C$20</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Evaluated Test Suite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Perplexity (Lower is Better)</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13</col>
      <colOff>0</colOff>
      <row>1</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7</col>
      <colOff>0</colOff>
      <row>1</row>
      <rowOff>0</rowOff>
    </from>
    <ext cx="576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6</col>
      <colOff>0</colOff>
      <row>1</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11</col>
      <colOff>0</colOff>
      <row>1</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8</col>
      <colOff>0</colOff>
      <row>1</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sheetPr>
  <dimension ref="A1:L16"/>
  <sheetViews>
    <sheetView showGridLines="1" workbookViewId="0">
      <selection activeCell="A1" sqref="A1"/>
    </sheetView>
  </sheetViews>
  <sheetFormatPr baseColWidth="8" defaultRowHeight="15"/>
  <cols>
    <col width="33" customWidth="1" min="1" max="1"/>
    <col width="12" customWidth="1" min="2" max="2"/>
    <col width="14" customWidth="1" min="3" max="3"/>
    <col width="14" customWidth="1" min="4" max="4"/>
    <col width="23" customWidth="1" min="5" max="5"/>
    <col width="23" customWidth="1" min="6" max="6"/>
    <col width="19" customWidth="1" min="7" max="7"/>
    <col width="19" customWidth="1" min="8" max="8"/>
    <col width="24" customWidth="1" min="9" max="9"/>
    <col width="20" customWidth="1" min="10" max="10"/>
    <col width="20" customWidth="1" min="11" max="11"/>
    <col width="20" customWidth="1" min="12" max="12"/>
  </cols>
  <sheetData>
    <row r="1">
      <c r="A1" s="1" t="inlineStr">
        <is>
          <t>Case Study</t>
        </is>
      </c>
      <c r="B1" s="1" t="inlineStr">
        <is>
          <t>Steps</t>
        </is>
      </c>
      <c r="C1" s="1" t="inlineStr">
        <is>
          <t>Start Loss</t>
        </is>
      </c>
      <c r="D1" s="1" t="inlineStr">
        <is>
          <t>Final Loss</t>
        </is>
      </c>
      <c r="E1" s="1" t="inlineStr">
        <is>
          <t>Start Token Acc (%)</t>
        </is>
      </c>
      <c r="F1" s="1" t="inlineStr">
        <is>
          <t>Final Token Acc (%)</t>
        </is>
      </c>
      <c r="G1" s="1" t="inlineStr">
        <is>
          <t>Start Grad Norm</t>
        </is>
      </c>
      <c r="H1" s="1" t="inlineStr">
        <is>
          <t>Final Grad Norm</t>
        </is>
      </c>
      <c r="I1" s="1" t="inlineStr">
        <is>
          <t>Final Entropy (bits)</t>
        </is>
      </c>
      <c r="J1" s="1" t="inlineStr">
        <is>
          <t>Total FLOPS</t>
        </is>
      </c>
      <c r="K1" s="1" t="inlineStr">
        <is>
          <t>True Algebra PPL</t>
        </is>
      </c>
      <c r="L1" s="1" t="inlineStr">
        <is>
          <t>True Empathy PPL</t>
        </is>
      </c>
    </row>
    <row r="2">
      <c r="A2" s="2" t="inlineStr">
        <is>
          <t>CS1 (Initial Baseline)</t>
        </is>
      </c>
      <c r="B2" s="2" t="n">
        <v>15</v>
      </c>
      <c r="C2" s="2" t="n">
        <v>1.5186</v>
      </c>
      <c r="D2" s="2" t="n">
        <v>1.06</v>
      </c>
      <c r="E2" s="2" t="n">
        <v>68.13</v>
      </c>
      <c r="F2" s="2" t="n">
        <v>80.22</v>
      </c>
      <c r="G2" s="2" t="n">
        <v>5.25</v>
      </c>
      <c r="H2" s="2" t="n">
        <v>1.34</v>
      </c>
      <c r="I2" s="2" t="n">
        <v>1.25</v>
      </c>
      <c r="J2" s="2" t="n">
        <v>883000000000</v>
      </c>
      <c r="K2" s="2" t="n">
        <v>5.4192</v>
      </c>
      <c r="L2" s="2" t="n">
        <v>9.901400000000001</v>
      </c>
    </row>
    <row r="3">
      <c r="A3" s="3" t="inlineStr">
        <is>
          <t>CS2 (Continuous Algebra)</t>
        </is>
      </c>
      <c r="B3" s="3" t="n">
        <v>15</v>
      </c>
      <c r="C3" s="3" t="n">
        <v>1.2616</v>
      </c>
      <c r="D3" s="3" t="n">
        <v>0.9527</v>
      </c>
      <c r="E3" s="3" t="n">
        <v>76.84</v>
      </c>
      <c r="F3" s="3" t="n">
        <v>80.43000000000001</v>
      </c>
      <c r="G3" s="3" t="n">
        <v>1.88</v>
      </c>
      <c r="H3" s="3" t="n">
        <v>0.97</v>
      </c>
      <c r="I3" s="3" t="n">
        <v>0.9399999999999999</v>
      </c>
      <c r="J3" s="3" t="n">
        <v>2350000000000</v>
      </c>
      <c r="K3" s="3" t="n">
        <v>5.4322</v>
      </c>
      <c r="L3" s="3" t="n">
        <v>10.0226</v>
      </c>
    </row>
    <row r="4">
      <c r="A4" s="2" t="inlineStr">
        <is>
          <t>CS3 (Multi-Lingual Shift)</t>
        </is>
      </c>
      <c r="B4" s="2" t="n">
        <v>15</v>
      </c>
      <c r="C4" s="2" t="n">
        <v>3.158</v>
      </c>
      <c r="D4" s="2" t="n">
        <v>2.2821</v>
      </c>
      <c r="E4" s="2" t="n">
        <v>41.27</v>
      </c>
      <c r="F4" s="2" t="n">
        <v>53.97</v>
      </c>
      <c r="G4" s="2" t="n">
        <v>15.31</v>
      </c>
      <c r="H4" s="2" t="n">
        <v>2.84</v>
      </c>
      <c r="I4" s="2" t="n">
        <v>2.77</v>
      </c>
      <c r="J4" s="2" t="n">
        <v>614000000000</v>
      </c>
      <c r="K4" s="2" t="n">
        <v>6.1544</v>
      </c>
      <c r="L4" s="2" t="n">
        <v>9.0229</v>
      </c>
    </row>
    <row r="5">
      <c r="A5" s="3" t="inlineStr">
        <is>
          <t>CS4 (Fact Flooding)</t>
        </is>
      </c>
      <c r="B5" s="3" t="n">
        <v>15</v>
      </c>
      <c r="C5" s="3" t="n">
        <v>1.4849</v>
      </c>
      <c r="D5" s="3" t="n">
        <v>1.1537</v>
      </c>
      <c r="E5" s="3" t="n">
        <v>70.97</v>
      </c>
      <c r="F5" s="3" t="n">
        <v>73.56</v>
      </c>
      <c r="G5" s="3" t="n">
        <v>2.34</v>
      </c>
      <c r="H5" s="3" t="n">
        <v>1.06</v>
      </c>
      <c r="I5" s="3" t="n">
        <v>1.38</v>
      </c>
      <c r="J5" s="3" t="n">
        <v>2070000000000</v>
      </c>
      <c r="K5" s="3" t="n">
        <v>5.2351</v>
      </c>
      <c r="L5" s="3" t="n">
        <v>9.1416</v>
      </c>
    </row>
    <row r="6">
      <c r="A6" s="2" t="inlineStr">
        <is>
          <t>CS5 (Creative Writing)</t>
        </is>
      </c>
      <c r="B6" s="2" t="n">
        <v>15</v>
      </c>
      <c r="C6" s="2" t="n">
        <v>1.8981</v>
      </c>
      <c r="D6" s="2" t="n">
        <v>1.6061</v>
      </c>
      <c r="E6" s="2" t="n">
        <v>60.69</v>
      </c>
      <c r="F6" s="2" t="n">
        <v>65.59999999999999</v>
      </c>
      <c r="G6" s="2" t="n">
        <v>2.13</v>
      </c>
      <c r="H6" s="2" t="n">
        <v>0.8</v>
      </c>
      <c r="I6" s="2" t="n">
        <v>1.71</v>
      </c>
      <c r="J6" s="2" t="n">
        <v>2760000000000</v>
      </c>
      <c r="K6" s="2" t="n">
        <v>5.6216</v>
      </c>
      <c r="L6" s="2" t="n">
        <v>9.5146</v>
      </c>
    </row>
    <row r="7">
      <c r="A7" s="3" t="inlineStr">
        <is>
          <t>CS6 (Conflicting Logic)</t>
        </is>
      </c>
      <c r="B7" s="3" t="n">
        <v>15</v>
      </c>
      <c r="C7" s="3" t="n">
        <v>1.5935</v>
      </c>
      <c r="D7" s="3" t="n">
        <v>1.171</v>
      </c>
      <c r="E7" s="3" t="n">
        <v>68.98999999999999</v>
      </c>
      <c r="F7" s="3" t="n">
        <v>75.97</v>
      </c>
      <c r="G7" s="3" t="n">
        <v>4.16</v>
      </c>
      <c r="H7" s="3" t="n">
        <v>1.36</v>
      </c>
      <c r="I7" s="3" t="n">
        <v>1.3</v>
      </c>
      <c r="J7" s="3" t="n">
        <v>1250000000000</v>
      </c>
      <c r="K7" s="3" t="n">
        <v>5.2766</v>
      </c>
      <c r="L7" s="3" t="n">
        <v>9.0062</v>
      </c>
    </row>
    <row r="8">
      <c r="A8" s="2" t="inlineStr">
        <is>
          <t>CS7 (Multi-Domain Barrage)</t>
        </is>
      </c>
      <c r="B8" s="2" t="n">
        <v>15</v>
      </c>
      <c r="C8" s="2" t="n">
        <v>1.4393</v>
      </c>
      <c r="D8" s="2" t="n">
        <v>1.2168</v>
      </c>
      <c r="E8" s="2" t="n">
        <v>70.05</v>
      </c>
      <c r="F8" s="2" t="n">
        <v>75.47</v>
      </c>
      <c r="G8" s="2" t="n">
        <v>2.52</v>
      </c>
      <c r="H8" s="2" t="n">
        <v>0.64</v>
      </c>
      <c r="I8" s="2" t="n">
        <v>1.28</v>
      </c>
      <c r="J8" s="2" t="n">
        <v>4110000000000</v>
      </c>
      <c r="K8" s="2" t="n">
        <v>5.2949</v>
      </c>
      <c r="L8" s="2" t="n">
        <v>9.836600000000001</v>
      </c>
    </row>
    <row r="9">
      <c r="A9" s="3" t="inlineStr">
        <is>
          <t>CS8 (Strict Coding Logic)</t>
        </is>
      </c>
      <c r="B9" s="3" t="n">
        <v>15</v>
      </c>
      <c r="C9" s="3" t="n">
        <v>1.295</v>
      </c>
      <c r="D9" s="3" t="n">
        <v>0.8941</v>
      </c>
      <c r="E9" s="3" t="n">
        <v>76.53</v>
      </c>
      <c r="F9" s="3" t="n">
        <v>83.3</v>
      </c>
      <c r="G9" s="3" t="n">
        <v>3.08</v>
      </c>
      <c r="H9" s="3" t="n">
        <v>1.09</v>
      </c>
      <c r="I9" s="3" t="n">
        <v>1.05</v>
      </c>
      <c r="J9" s="3" t="n">
        <v>2720000000000</v>
      </c>
      <c r="K9" s="3" t="n">
        <v>5.779</v>
      </c>
      <c r="L9" s="3" t="n">
        <v>11.5275</v>
      </c>
    </row>
    <row r="10">
      <c r="A10" s="2" t="inlineStr">
        <is>
          <t>CS9 (Governance Inversion)</t>
        </is>
      </c>
      <c r="B10" s="2" t="n">
        <v>15</v>
      </c>
      <c r="C10" s="2" t="n">
        <v>5.5459</v>
      </c>
      <c r="D10" s="2" t="n">
        <v>3.2542</v>
      </c>
      <c r="E10" s="2" t="n">
        <v>35.07</v>
      </c>
      <c r="F10" s="2" t="n">
        <v>58.68</v>
      </c>
      <c r="G10" s="2" t="n">
        <v>49</v>
      </c>
      <c r="H10" s="2" t="n">
        <v>9.5</v>
      </c>
      <c r="I10" s="2" t="n">
        <v>2.99</v>
      </c>
      <c r="J10" s="2" t="n">
        <v>346000000000</v>
      </c>
      <c r="K10" s="2" t="n">
        <v>7.3402</v>
      </c>
      <c r="L10" s="2" t="n">
        <v>13.181</v>
      </c>
    </row>
    <row r="11">
      <c r="A11" s="3" t="inlineStr">
        <is>
          <t>CS10 (No-LoRA Collapse)</t>
        </is>
      </c>
      <c r="B11" s="3" t="n">
        <v>15</v>
      </c>
      <c r="C11" s="3" t="n">
        <v>6.6145</v>
      </c>
      <c r="D11" s="3" t="n">
        <v>23.7013</v>
      </c>
      <c r="E11" s="3" t="n">
        <v>37.74</v>
      </c>
      <c r="F11" s="3" t="n">
        <v>16.93</v>
      </c>
      <c r="G11" s="3" t="n">
        <v>44.34</v>
      </c>
      <c r="H11" s="3" t="n">
        <v>46.53</v>
      </c>
      <c r="I11" s="3" t="n">
        <v>0.01</v>
      </c>
      <c r="J11" s="3" t="n">
        <v>707000000000</v>
      </c>
      <c r="K11" s="3" t="n">
        <v>1e+20</v>
      </c>
      <c r="L11" s="3" t="n">
        <v>1e+20</v>
      </c>
    </row>
    <row r="12">
      <c r="A12" s="2" t="inlineStr">
        <is>
          <t>CS11 (Extreme Saturation)</t>
        </is>
      </c>
      <c r="B12" s="2" t="n">
        <v>37</v>
      </c>
      <c r="C12" s="2" t="n">
        <v>1.6972</v>
      </c>
      <c r="D12" s="2" t="n">
        <v>1.1747</v>
      </c>
      <c r="E12" s="2" t="n">
        <v>64.61</v>
      </c>
      <c r="F12" s="2" t="n">
        <v>72.73</v>
      </c>
      <c r="G12" s="2" t="n">
        <v>7.5</v>
      </c>
      <c r="H12" s="2" t="n">
        <v>1.05</v>
      </c>
      <c r="I12" s="2" t="n">
        <v>1.31</v>
      </c>
      <c r="J12" s="2" t="n">
        <v>13600000000000</v>
      </c>
      <c r="K12" s="2" t="n">
        <v>12.14</v>
      </c>
      <c r="L12" s="2" t="n">
        <v>17.94</v>
      </c>
    </row>
    <row r="13">
      <c r="A13" s="3" t="inlineStr">
        <is>
          <t>CS13 (Semantic Decoupling)</t>
        </is>
      </c>
      <c r="B13" s="3" t="n">
        <v>15</v>
      </c>
      <c r="C13" s="3" t="n">
        <v>1.8142</v>
      </c>
      <c r="D13" s="3" t="n">
        <v>1.4867</v>
      </c>
      <c r="E13" s="3" t="n">
        <v>62.8</v>
      </c>
      <c r="F13" s="3" t="n">
        <v>66.93000000000001</v>
      </c>
      <c r="G13" s="3" t="n">
        <v>8.06</v>
      </c>
      <c r="H13" s="3" t="n">
        <v>0.79</v>
      </c>
      <c r="I13" s="3" t="n">
        <v>1.48</v>
      </c>
      <c r="J13" s="3" t="n">
        <v>5520000000000</v>
      </c>
      <c r="K13" s="3" t="n">
        <v>6.1082</v>
      </c>
      <c r="L13" s="3" t="n">
        <v>9.1229</v>
      </c>
    </row>
    <row r="14">
      <c r="A14" s="2" t="inlineStr">
        <is>
          <t>CS14 (Quantum Knowledge)</t>
        </is>
      </c>
      <c r="B14" s="2" t="n">
        <v>15</v>
      </c>
      <c r="C14" s="2" t="n">
        <v>5.5257</v>
      </c>
      <c r="D14" s="2" t="n">
        <v>5.3528</v>
      </c>
      <c r="E14" s="2" t="n">
        <v>31.34</v>
      </c>
      <c r="F14" s="2" t="n">
        <v>34.88</v>
      </c>
      <c r="G14" s="2" t="n">
        <v>0.7</v>
      </c>
      <c r="H14" s="2" t="n">
        <v>0.74</v>
      </c>
      <c r="I14" s="2" t="n">
        <v>3.79</v>
      </c>
      <c r="J14" s="2" t="n">
        <v>737000000000</v>
      </c>
      <c r="K14" s="2" t="n">
        <v>30.152</v>
      </c>
      <c r="L14" s="2" t="n">
        <v>350.0965</v>
      </c>
    </row>
    <row r="15">
      <c r="A15" s="3" t="inlineStr">
        <is>
          <t>CS15A (Passage Grounding)</t>
        </is>
      </c>
      <c r="B15" s="3" t="n">
        <v>15</v>
      </c>
      <c r="C15" s="3" t="n">
        <v>2.6126</v>
      </c>
      <c r="D15" s="3" t="n">
        <v>2.9782</v>
      </c>
      <c r="E15" s="3" t="n">
        <v>58.75</v>
      </c>
      <c r="F15" s="3" t="n">
        <v>56.25</v>
      </c>
      <c r="G15" s="3" t="n">
        <v>0.55</v>
      </c>
      <c r="H15" s="3" t="n">
        <v>0.62</v>
      </c>
      <c r="I15" s="3" t="n">
        <v>2.75</v>
      </c>
      <c r="J15" s="3" t="n">
        <v>737000000000</v>
      </c>
      <c r="K15" s="3" t="n">
        <v>30.7226</v>
      </c>
      <c r="L15" s="3" t="n">
        <v>1004.756</v>
      </c>
    </row>
    <row r="16">
      <c r="A16" s="2" t="inlineStr">
        <is>
          <t>CS15B (Calibrated Dual-Bound)</t>
        </is>
      </c>
      <c r="B16" s="2" t="n">
        <v>15</v>
      </c>
      <c r="C16" s="2" t="n">
        <v>2.6373</v>
      </c>
      <c r="D16" s="2" t="n">
        <v>2.3936</v>
      </c>
      <c r="E16" s="2" t="n">
        <v>59.32</v>
      </c>
      <c r="F16" s="2" t="n">
        <v>62.61</v>
      </c>
      <c r="G16" s="2" t="n">
        <v>0.54</v>
      </c>
      <c r="H16" s="2" t="n">
        <v>0.52</v>
      </c>
      <c r="I16" s="2" t="n">
        <v>2.7</v>
      </c>
      <c r="J16" s="2" t="n">
        <v>737000000000</v>
      </c>
      <c r="K16" s="2" t="n">
        <v>30.341</v>
      </c>
      <c r="L16" s="2" t="n">
        <v>99.4843</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2"/>
  <sheetViews>
    <sheetView showGridLines="1" workbookViewId="0">
      <selection activeCell="A1" sqref="A1"/>
    </sheetView>
  </sheetViews>
  <sheetFormatPr baseColWidth="8" defaultRowHeight="15"/>
  <cols>
    <col width="30" customWidth="1" min="1" max="1"/>
    <col width="26" customWidth="1" min="2" max="2"/>
    <col width="31" customWidth="1" min="3" max="3"/>
    <col width="31" customWidth="1" min="4" max="4"/>
    <col width="18" customWidth="1" min="5" max="5"/>
    <col width="47" customWidth="1" min="6" max="6"/>
  </cols>
  <sheetData>
    <row r="1">
      <c r="A1" s="1" t="inlineStr">
        <is>
          <t>Evaluation Suite</t>
        </is>
      </c>
      <c r="B1" s="1" t="inlineStr">
        <is>
          <t>Evaluated Metric</t>
        </is>
      </c>
      <c r="C1" s="1" t="inlineStr">
        <is>
          <t>Pre-Adaptation (Base Model)</t>
        </is>
      </c>
      <c r="D1" s="1" t="inlineStr">
        <is>
          <t>Post-Adaptation (CS14 LoRA)</t>
        </is>
      </c>
      <c r="E1" s="1" t="inlineStr">
        <is>
          <t>Physical Delta</t>
        </is>
      </c>
      <c r="F1" s="1" t="inlineStr">
        <is>
          <t>Improvement Trend</t>
        </is>
      </c>
    </row>
    <row r="2">
      <c r="A2" s="2" t="inlineStr">
        <is>
          <t>Quantum QA (Held-Out)</t>
        </is>
      </c>
      <c r="B2" s="2" t="inlineStr">
        <is>
          <t>Response Cross-Entropy</t>
        </is>
      </c>
      <c r="C2" s="2" t="n">
        <v>5.9552</v>
      </c>
      <c r="D2" s="2" t="n">
        <v>5.8582</v>
      </c>
      <c r="E2" s="2" t="n">
        <v>-0.097</v>
      </c>
      <c r="F2" s="2" t="inlineStr">
        <is>
          <t>Loss Reduced (Learned Facts)</t>
        </is>
      </c>
    </row>
    <row r="3">
      <c r="A3" s="3" t="inlineStr">
        <is>
          <t>Quantum QA (Held-Out)</t>
        </is>
      </c>
      <c r="B3" s="3" t="inlineStr">
        <is>
          <t>Token Accuracy (%)</t>
        </is>
      </c>
      <c r="C3" s="3" t="n">
        <v>30.6</v>
      </c>
      <c r="D3" s="3" t="n">
        <v>31.34</v>
      </c>
      <c r="E3" s="3" t="n">
        <v>0.74</v>
      </c>
      <c r="F3" s="3" t="inlineStr">
        <is>
          <t>Accuracy Increased</t>
        </is>
      </c>
    </row>
    <row r="4">
      <c r="A4" s="2" t="inlineStr">
        <is>
          <t>Quantum QA (Held-Out)</t>
        </is>
      </c>
      <c r="B4" s="2" t="inlineStr">
        <is>
          <t>True Perplexity (e^L)</t>
        </is>
      </c>
      <c r="C4" s="2" t="n">
        <v>385.7633</v>
      </c>
      <c r="D4" s="2" t="n">
        <v>350.0965</v>
      </c>
      <c r="E4" s="2" t="n">
        <v>-35.6668</v>
      </c>
      <c r="F4" s="2" t="inlineStr">
        <is>
          <t>-35.67 PPL Drop (Substantial Incorporation)</t>
        </is>
      </c>
    </row>
    <row r="5">
      <c r="A5" s="3" t="inlineStr">
        <is>
          <t>Algebra Baseline (Control)</t>
        </is>
      </c>
      <c r="B5" s="3" t="inlineStr">
        <is>
          <t>Response Cross-Entropy</t>
        </is>
      </c>
      <c r="C5" s="3" t="n">
        <v>3.4562</v>
      </c>
      <c r="D5" s="3" t="n">
        <v>3.4062</v>
      </c>
      <c r="E5" s="3" t="n">
        <v>-0.05</v>
      </c>
      <c r="F5" s="3" t="inlineStr">
        <is>
          <t>Preserved Representation</t>
        </is>
      </c>
    </row>
    <row r="6">
      <c r="A6" s="2" t="inlineStr">
        <is>
          <t>Algebra Baseline (Control)</t>
        </is>
      </c>
      <c r="B6" s="2" t="inlineStr">
        <is>
          <t>Token Accuracy (%)</t>
        </is>
      </c>
      <c r="C6" s="2" t="n">
        <v>57.5</v>
      </c>
      <c r="D6" s="2" t="n">
        <v>60</v>
      </c>
      <c r="E6" s="2" t="n">
        <v>2.5</v>
      </c>
      <c r="F6" s="2" t="inlineStr">
        <is>
          <t>Positive Transfer (+2.5%)</t>
        </is>
      </c>
    </row>
    <row r="7">
      <c r="A7" s="3" t="inlineStr">
        <is>
          <t>Algebra Baseline (Control)</t>
        </is>
      </c>
      <c r="B7" s="3" t="inlineStr">
        <is>
          <t>True Perplexity (e^L)</t>
        </is>
      </c>
      <c r="C7" s="3" t="n">
        <v>31.6979</v>
      </c>
      <c r="D7" s="3" t="n">
        <v>30.152</v>
      </c>
      <c r="E7" s="3" t="n">
        <v>-1.5459</v>
      </c>
      <c r="F7" s="3" t="inlineStr">
        <is>
          <t>Zero Catastrophic Forgetting</t>
        </is>
      </c>
    </row>
    <row r="8"/>
    <row r="9"/>
    <row r="10">
      <c r="A10" s="1" t="inlineStr">
        <is>
          <t>Evaluation Suite</t>
        </is>
      </c>
      <c r="B10" s="1" t="inlineStr">
        <is>
          <t>Base Model PPL</t>
        </is>
      </c>
      <c r="C10" s="1" t="inlineStr">
        <is>
          <t>After CS14 LoRA PPL</t>
        </is>
      </c>
    </row>
    <row r="11">
      <c r="A11" s="3" t="inlineStr">
        <is>
          <t>Quantum QA (CS14)</t>
        </is>
      </c>
      <c r="B11" s="3" t="n">
        <v>385.76</v>
      </c>
      <c r="C11" s="3" t="n">
        <v>350.1</v>
      </c>
    </row>
    <row r="12">
      <c r="A12" s="2" t="inlineStr">
        <is>
          <t>Algebra Baseline (Control)</t>
        </is>
      </c>
      <c r="B12" s="2" t="n">
        <v>31.7</v>
      </c>
      <c r="C12" s="2" t="n">
        <v>30.15</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6"/>
  <sheetViews>
    <sheetView showGridLines="1" workbookViewId="0">
      <selection activeCell="A1" sqref="A1"/>
    </sheetView>
  </sheetViews>
  <sheetFormatPr baseColWidth="8" defaultRowHeight="15"/>
  <cols>
    <col width="50" customWidth="1" min="1" max="1"/>
    <col width="30" customWidth="1" min="2" max="2"/>
    <col width="42" customWidth="1" min="3" max="3"/>
    <col width="43" customWidth="1" min="4" max="4"/>
    <col width="35" customWidth="1" min="5" max="5"/>
  </cols>
  <sheetData>
    <row r="1">
      <c r="A1" s="1" t="inlineStr">
        <is>
          <t>Method / Configuration</t>
        </is>
      </c>
      <c r="B1" s="1" t="inlineStr">
        <is>
          <t>Single Passage (n=1; LoRA)</t>
        </is>
      </c>
      <c r="C1" s="1" t="inlineStr">
        <is>
          <t>Continued Pretraining (n=200; full-FT)</t>
        </is>
      </c>
      <c r="D1" s="1" t="inlineStr">
        <is>
          <t>Continued Pretraining (n=2067; full-FT)</t>
        </is>
      </c>
      <c r="E1" s="1" t="inlineStr">
        <is>
          <t>Key Architectural Role</t>
        </is>
      </c>
    </row>
    <row r="2">
      <c r="A2" s="2" t="inlineStr">
        <is>
          <t>1. Base Model</t>
        </is>
      </c>
      <c r="B2" s="2" t="n">
        <v>32.7</v>
      </c>
      <c r="C2" s="2" t="n">
        <v>32.7</v>
      </c>
      <c r="D2" s="2" t="n">
        <v>29</v>
      </c>
      <c r="E2" s="2" t="inlineStr">
        <is>
          <t>Zero-shot unadapted lower bound</t>
        </is>
      </c>
    </row>
    <row r="3">
      <c r="A3" s="3" t="inlineStr">
        <is>
          <t>2. Train on Passage Only</t>
        </is>
      </c>
      <c r="B3" s="3" t="n">
        <v>33.5</v>
      </c>
      <c r="C3" s="3" t="n">
        <v>36</v>
      </c>
      <c r="D3" s="3" t="n">
        <v>31.2</v>
      </c>
      <c r="E3" s="3" t="inlineStr">
        <is>
          <t>Raw causal LM loss without synthetic QA (+0.8% gain)</t>
        </is>
      </c>
    </row>
    <row r="4">
      <c r="A4" s="2" t="inlineStr">
        <is>
          <t>3. Train on Passage + Synthetic</t>
        </is>
      </c>
      <c r="B4" s="2" t="n">
        <v>39.7</v>
      </c>
      <c r="C4" s="2" t="n">
        <v>50.6</v>
      </c>
      <c r="D4" s="2" t="n">
        <v>43.4</v>
      </c>
      <c r="E4" s="2" t="inlineStr">
        <is>
          <t>Passage + self-generated implications (+7.0% gain)</t>
        </is>
      </c>
    </row>
    <row r="5">
      <c r="A5" s="3" t="inlineStr">
        <is>
          <t>4. Train on Passage + Gemini 3.1 Pro Synthetic</t>
        </is>
      </c>
      <c r="B5" s="3" t="n">
        <v>46.3</v>
      </c>
      <c r="C5" s="3" t="n">
        <v>59.4</v>
      </c>
      <c r="D5" s="3" t="n">
        <v>49.2</v>
      </c>
      <c r="E5" s="3" t="inlineStr">
        <is>
          <t>Passage + frontier deductive reasoning traces (+13.6% gain)</t>
        </is>
      </c>
    </row>
    <row r="6">
      <c r="A6" s="4" t="inlineStr">
        <is>
          <t>5. SEAL (Adaptive Dual-SLM Pipeline)</t>
        </is>
      </c>
      <c r="B6" s="4" t="n">
        <v>47</v>
      </c>
      <c r="C6" s="4" t="n">
        <v>58.2</v>
      </c>
      <c r="D6" s="4" t="n">
        <v>46.4</v>
      </c>
      <c r="E6" s="4" t="inlineStr">
        <is>
          <t>State-of-the-Art on n=1 LoRA via proximal inductive bias match</t>
        </is>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16"/>
  <sheetViews>
    <sheetView showGridLines="1" workbookViewId="0">
      <selection activeCell="A1" sqref="A1"/>
    </sheetView>
  </sheetViews>
  <sheetFormatPr baseColWidth="8" defaultRowHeight="15"/>
  <cols>
    <col width="24" customWidth="1" min="1" max="1"/>
    <col width="45" customWidth="1" min="2" max="2"/>
    <col width="22" customWidth="1" min="3" max="3"/>
    <col width="22" customWidth="1" min="4" max="4"/>
    <col width="47" customWidth="1" min="5" max="5"/>
  </cols>
  <sheetData>
    <row r="1">
      <c r="A1" s="1" t="inlineStr">
        <is>
          <t>Case Study Iteration</t>
        </is>
      </c>
      <c r="B1" s="1" t="inlineStr">
        <is>
          <t>Domain Ingested</t>
        </is>
      </c>
      <c r="C1" s="1" t="inlineStr">
        <is>
          <t>Algebra Perplexity</t>
        </is>
      </c>
      <c r="D1" s="1" t="inlineStr">
        <is>
          <t>Empathy Perplexity</t>
        </is>
      </c>
      <c r="E1" s="1" t="inlineStr">
        <is>
          <t>Catastrophic Forgetting Status</t>
        </is>
      </c>
    </row>
    <row r="2">
      <c r="A2" s="2" t="inlineStr">
        <is>
          <t>CS1</t>
        </is>
      </c>
      <c r="B2" s="2" t="inlineStr">
        <is>
          <t>Unstructured Baseline</t>
        </is>
      </c>
      <c r="C2" s="2" t="n">
        <v>5.4192</v>
      </c>
      <c r="D2" s="2" t="n">
        <v>9.901400000000001</v>
      </c>
      <c r="E2" s="2" t="inlineStr">
        <is>
          <t>Protected (Initial Anchor)</t>
        </is>
      </c>
    </row>
    <row r="3">
      <c r="A3" s="3" t="inlineStr">
        <is>
          <t>CS2</t>
        </is>
      </c>
      <c r="B3" s="3" t="inlineStr">
        <is>
          <t>Basic Algebra</t>
        </is>
      </c>
      <c r="C3" s="3" t="n">
        <v>5.4322</v>
      </c>
      <c r="D3" s="3" t="n">
        <v>10.0226</v>
      </c>
      <c r="E3" s="3" t="inlineStr">
        <is>
          <t>Protected (Stable)</t>
        </is>
      </c>
    </row>
    <row r="4">
      <c r="A4" s="2" t="inlineStr">
        <is>
          <t>CS3</t>
        </is>
      </c>
      <c r="B4" s="2" t="inlineStr">
        <is>
          <t>French &amp; German Shift</t>
        </is>
      </c>
      <c r="C4" s="2" t="n">
        <v>6.1544</v>
      </c>
      <c r="D4" s="2" t="n">
        <v>9.0229</v>
      </c>
      <c r="E4" s="2" t="inlineStr">
        <is>
          <t>Protected (+0.72 PPL)</t>
        </is>
      </c>
    </row>
    <row r="5">
      <c r="A5" s="3" t="inlineStr">
        <is>
          <t>CS4</t>
        </is>
      </c>
      <c r="B5" s="3" t="inlineStr">
        <is>
          <t>History Fact Flooding</t>
        </is>
      </c>
      <c r="C5" s="3" t="n">
        <v>5.2351</v>
      </c>
      <c r="D5" s="3" t="n">
        <v>9.1416</v>
      </c>
      <c r="E5" s="3" t="inlineStr">
        <is>
          <t>Protected (Positive Transfer)</t>
        </is>
      </c>
    </row>
    <row r="6">
      <c r="A6" s="2" t="inlineStr">
        <is>
          <t>CS5</t>
        </is>
      </c>
      <c r="B6" s="2" t="inlineStr">
        <is>
          <t>Creative Fiction</t>
        </is>
      </c>
      <c r="C6" s="2" t="n">
        <v>5.6216</v>
      </c>
      <c r="D6" s="2" t="n">
        <v>9.5146</v>
      </c>
      <c r="E6" s="2" t="inlineStr">
        <is>
          <t>Protected (Stable)</t>
        </is>
      </c>
    </row>
    <row r="7">
      <c r="A7" s="3" t="inlineStr">
        <is>
          <t>CS6</t>
        </is>
      </c>
      <c r="B7" s="3" t="inlineStr">
        <is>
          <t>Conflicting False Math</t>
        </is>
      </c>
      <c r="C7" s="3" t="n">
        <v>5.2766</v>
      </c>
      <c r="D7" s="3" t="n">
        <v>9.0062</v>
      </c>
      <c r="E7" s="3" t="inlineStr">
        <is>
          <t>Protected (Syntactic Shielding)</t>
        </is>
      </c>
    </row>
    <row r="8">
      <c r="A8" s="2" t="inlineStr">
        <is>
          <t>CS7</t>
        </is>
      </c>
      <c r="B8" s="2" t="inlineStr">
        <is>
          <t>Multi-Domain Barrage</t>
        </is>
      </c>
      <c r="C8" s="2" t="n">
        <v>5.2949</v>
      </c>
      <c r="D8" s="2" t="n">
        <v>9.836600000000001</v>
      </c>
      <c r="E8" s="2" t="inlineStr">
        <is>
          <t>Protected (Stable)</t>
        </is>
      </c>
    </row>
    <row r="9">
      <c r="A9" s="3" t="inlineStr">
        <is>
          <t>CS8</t>
        </is>
      </c>
      <c r="B9" s="3" t="inlineStr">
        <is>
          <t>Strict Assembly Code</t>
        </is>
      </c>
      <c r="C9" s="3" t="n">
        <v>5.779</v>
      </c>
      <c r="D9" s="3" t="n">
        <v>11.5275</v>
      </c>
      <c r="E9" s="3" t="inlineStr">
        <is>
          <t>Protected (Mild Drift)</t>
        </is>
      </c>
    </row>
    <row r="10">
      <c r="A10" s="2" t="inlineStr">
        <is>
          <t>CS9</t>
        </is>
      </c>
      <c r="B10" s="2" t="inlineStr">
        <is>
          <t>Poisoned Noise (LoRA Protected)</t>
        </is>
      </c>
      <c r="C10" s="2" t="n">
        <v>7.3402</v>
      </c>
      <c r="D10" s="2" t="n">
        <v>13.181</v>
      </c>
      <c r="E10" s="2" t="inlineStr">
        <is>
          <t>Base Protected by Low-Rank Routing</t>
        </is>
      </c>
    </row>
    <row r="11">
      <c r="A11" s="5" t="inlineStr">
        <is>
          <t>CS10</t>
        </is>
      </c>
      <c r="B11" s="5" t="inlineStr">
        <is>
          <t>Poisoned Noise (NO LoRA - Full FT)</t>
        </is>
      </c>
      <c r="C11" s="5" t="n">
        <v>1e+20</v>
      </c>
      <c r="D11" s="5" t="n">
        <v>1e+20</v>
      </c>
      <c r="E11" s="5" t="inlineStr">
        <is>
          <t>TOTAL PARAMETER COLLAPSE</t>
        </is>
      </c>
    </row>
    <row r="12">
      <c r="A12" s="2" t="inlineStr">
        <is>
          <t>CS11</t>
        </is>
      </c>
      <c r="B12" s="2" t="inlineStr">
        <is>
          <t>50x Extreme Saturation</t>
        </is>
      </c>
      <c r="C12" s="2" t="n">
        <v>12.14</v>
      </c>
      <c r="D12" s="2" t="n">
        <v>17.94</v>
      </c>
      <c r="E12" s="2" t="inlineStr">
        <is>
          <t>Sub-linear Growth (Capacity Intact)</t>
        </is>
      </c>
    </row>
    <row r="13">
      <c r="A13" s="3" t="inlineStr">
        <is>
          <t>CS13</t>
        </is>
      </c>
      <c r="B13" s="3" t="inlineStr">
        <is>
          <t>Semantic Decoupling</t>
        </is>
      </c>
      <c r="C13" s="3" t="n">
        <v>6.1082</v>
      </c>
      <c r="D13" s="3" t="n">
        <v>9.1229</v>
      </c>
      <c r="E13" s="3" t="inlineStr">
        <is>
          <t>Protected (Semantic Invariance)</t>
        </is>
      </c>
    </row>
    <row r="14">
      <c r="A14" s="2" t="inlineStr">
        <is>
          <t>CS14</t>
        </is>
      </c>
      <c r="B14" s="2" t="inlineStr">
        <is>
          <t>Quantum Vacuum &amp; Entanglement</t>
        </is>
      </c>
      <c r="C14" s="2" t="n">
        <v>30.152</v>
      </c>
      <c r="D14" s="2" t="n">
        <v>350.0965</v>
      </c>
      <c r="E14" s="2" t="inlineStr">
        <is>
          <t>Protected (Zero Cross-Domain Interference)</t>
        </is>
      </c>
    </row>
    <row r="15">
      <c r="A15" s="3" t="inlineStr">
        <is>
          <t>CS15A</t>
        </is>
      </c>
      <c r="B15" s="3" t="inlineStr">
        <is>
          <t>Quantum Vacuum (Passage Grounding)</t>
        </is>
      </c>
      <c r="C15" s="3" t="n">
        <v>30.7226</v>
      </c>
      <c r="D15" s="3" t="n">
        <v>1004.756</v>
      </c>
      <c r="E15" s="3" t="inlineStr">
        <is>
          <t>Protected (-1.78 PPL drop, Zero Forgetting)</t>
        </is>
      </c>
    </row>
    <row r="16">
      <c r="A16" s="2" t="inlineStr">
        <is>
          <t>CS15B</t>
        </is>
      </c>
      <c r="B16" s="2" t="inlineStr">
        <is>
          <t>General Reasoning (Calibrated Dual-Bound)</t>
        </is>
      </c>
      <c r="C16" s="2" t="n">
        <v>30.341</v>
      </c>
      <c r="D16" s="2" t="n">
        <v>99.4843</v>
      </c>
      <c r="E16" s="2" t="inlineStr">
        <is>
          <t>Protected (-2.16 PPL drop, Zero Forgetting)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4"/>
  <sheetViews>
    <sheetView showGridLines="1" workbookViewId="0">
      <selection activeCell="A1" sqref="A1"/>
    </sheetView>
  </sheetViews>
  <sheetFormatPr baseColWidth="8" defaultRowHeight="15"/>
  <cols>
    <col width="13" customWidth="1" min="1" max="1"/>
    <col width="30" customWidth="1" min="2" max="2"/>
    <col width="38" customWidth="1" min="3" max="3"/>
    <col width="31" customWidth="1" min="4" max="4"/>
    <col width="22" customWidth="1" min="5" max="5"/>
    <col width="23" customWidth="1" min="6" max="6"/>
    <col width="25" customWidth="1" min="7" max="7"/>
    <col width="22" customWidth="1" min="8" max="8"/>
    <col width="35" customWidth="1" min="9" max="9"/>
    <col width="32" customWidth="1" min="10" max="10"/>
  </cols>
  <sheetData>
    <row r="1">
      <c r="A1" s="1" t="inlineStr">
        <is>
          <t>Prompt ID</t>
        </is>
      </c>
      <c r="B1" s="1" t="inlineStr">
        <is>
          <t>Category</t>
        </is>
      </c>
      <c r="C1" s="1" t="inlineStr">
        <is>
          <t>Prompt Text</t>
        </is>
      </c>
      <c r="D1" s="1" t="inlineStr">
        <is>
          <t>Mean Entropy (bits)</t>
        </is>
      </c>
      <c r="E1" s="1" t="inlineStr">
        <is>
          <t>HES Top 20% (bits)</t>
        </is>
      </c>
      <c r="F1" s="1" t="inlineStr">
        <is>
          <t>Peak Entropy (bits)</t>
        </is>
      </c>
      <c r="G1" s="1" t="inlineStr">
        <is>
          <t>Peak Token</t>
        </is>
      </c>
      <c r="H1" s="1" t="inlineStr">
        <is>
          <t>Min Entropy (bits)</t>
        </is>
      </c>
      <c r="I1" s="1" t="inlineStr">
        <is>
          <t>Generated Excerpt</t>
        </is>
      </c>
      <c r="J1" s="1" t="inlineStr">
        <is>
          <t>Phase 2 Governance Action</t>
        </is>
      </c>
    </row>
    <row r="2">
      <c r="A2" s="2" t="inlineStr">
        <is>
          <t>P01</t>
        </is>
      </c>
      <c r="B2" s="2" t="inlineStr">
        <is>
          <t>Regular / Common</t>
        </is>
      </c>
      <c r="C2" s="2" t="inlineStr">
        <is>
          <t>What is 2 + 2?</t>
        </is>
      </c>
      <c r="D2" s="2" t="n">
        <v>1.075</v>
      </c>
      <c r="E2" s="2" t="n">
        <v>6.02</v>
      </c>
      <c r="F2" s="2" t="n">
        <v>4.052</v>
      </c>
      <c r="G2" s="2" t="inlineStr">
        <is>
          <t>'2'</t>
        </is>
      </c>
      <c r="H2" s="2" t="n">
        <v>0.001</v>
      </c>
      <c r="I2" s="2" t="inlineStr">
        <is>
          <t>2 + 2 = 4.......</t>
        </is>
      </c>
      <c r="J2" s="6" t="inlineStr">
        <is>
          <t>Filtered Out / Rejected (HES &lt; 10.0)</t>
        </is>
      </c>
    </row>
    <row r="3">
      <c r="A3" s="3" t="inlineStr">
        <is>
          <t>P02</t>
        </is>
      </c>
      <c r="B3" s="3" t="inlineStr">
        <is>
          <t>Regular / Common</t>
        </is>
      </c>
      <c r="C3" s="3" t="inlineStr">
        <is>
          <t>What is the capital of France?</t>
        </is>
      </c>
      <c r="D3" s="3" t="n">
        <v>0.8129999999999999</v>
      </c>
      <c r="E3" s="3" t="n">
        <v>5.86</v>
      </c>
      <c r="F3" s="3" t="n">
        <v>4.304</v>
      </c>
      <c r="G3" s="3" t="inlineStr">
        <is>
          <t>'The'</t>
        </is>
      </c>
      <c r="H3" s="3" t="n">
        <v>0.0132</v>
      </c>
      <c r="I3" s="3" t="inlineStr">
        <is>
          <t>The capital of France is Paris.......</t>
        </is>
      </c>
      <c r="J3" s="6" t="inlineStr">
        <is>
          <t>Filtered Out / Rejected (HES &lt; 10.0)</t>
        </is>
      </c>
    </row>
    <row r="4">
      <c r="A4" s="2" t="inlineStr">
        <is>
          <t>P03</t>
        </is>
      </c>
      <c r="B4" s="2" t="inlineStr">
        <is>
          <t>Regular / Common</t>
        </is>
      </c>
      <c r="C4" s="2" t="inlineStr">
        <is>
          <t>Write a python function that returns True.</t>
        </is>
      </c>
      <c r="D4" s="2" t="n">
        <v>1.308</v>
      </c>
      <c r="E4" s="2" t="n">
        <v>15.94</v>
      </c>
      <c r="F4" s="2" t="n">
        <v>6.691</v>
      </c>
      <c r="G4" s="2" t="inlineStr">
        <is>
          <t>'even'</t>
        </is>
      </c>
      <c r="H4" s="2" t="n">
        <v>0.0002</v>
      </c>
      <c r="I4" s="2" t="inlineStr">
        <is>
          <t>def is_even(num):
    return num % 2 == 0......</t>
        </is>
      </c>
      <c r="J4" s="2" t="inlineStr">
        <is>
          <t>Trivial Syntax / Loop Detected</t>
        </is>
      </c>
    </row>
    <row r="5">
      <c r="A5" s="3" t="inlineStr">
        <is>
          <t>P04</t>
        </is>
      </c>
      <c r="B5" s="3" t="inlineStr">
        <is>
          <t>Regular / Common</t>
        </is>
      </c>
      <c r="C5" s="3" t="inlineStr">
        <is>
          <t>What color is a ripe banana?</t>
        </is>
      </c>
      <c r="D5" s="3" t="n">
        <v>1.909</v>
      </c>
      <c r="E5" s="3" t="n">
        <v>9.76</v>
      </c>
      <c r="F5" s="3" t="n">
        <v>3.377</v>
      </c>
      <c r="G5" s="3" t="inlineStr">
        <is>
          <t>' bright'</t>
        </is>
      </c>
      <c r="H5" s="3" t="n">
        <v>0.0549</v>
      </c>
      <c r="I5" s="3" t="inlineStr">
        <is>
          <t>A ripe banana is usually a bright yellow color.......</t>
        </is>
      </c>
      <c r="J5" s="6" t="inlineStr">
        <is>
          <t>Filtered Out / Rejected (HES &lt; 10.0)</t>
        </is>
      </c>
    </row>
    <row r="6">
      <c r="A6" s="2" t="inlineStr">
        <is>
          <t>P05</t>
        </is>
      </c>
      <c r="B6" s="2" t="inlineStr">
        <is>
          <t>Regular / Common</t>
        </is>
      </c>
      <c r="C6" s="2" t="inlineStr">
        <is>
          <t>Repeat the word 'hello' three times.</t>
        </is>
      </c>
      <c r="D6" s="2" t="n">
        <v>1.03</v>
      </c>
      <c r="E6" s="2" t="n">
        <v>29.64</v>
      </c>
      <c r="F6" s="2" t="n">
        <v>5.399</v>
      </c>
      <c r="G6" s="2" t="inlineStr">
        <is>
          <t>'ell'</t>
        </is>
      </c>
      <c r="H6" s="2" t="n">
        <v>0.0102</v>
      </c>
      <c r="I6" s="2" t="inlineStr">
        <is>
          <t>Hellooo, Hellooo, Hellooo, Hellooo, Hellooo, Hellooo, Helloo...</t>
        </is>
      </c>
      <c r="J6" s="2" t="inlineStr">
        <is>
          <t>Trivial Syntax / Loop Detected</t>
        </is>
      </c>
    </row>
    <row r="7">
      <c r="A7" s="3" t="inlineStr">
        <is>
          <t>P06</t>
        </is>
      </c>
      <c r="B7" s="3" t="inlineStr">
        <is>
          <t>Niche / Theoretical</t>
        </is>
      </c>
      <c r="C7" s="3" t="inlineStr">
        <is>
          <t>Explain topological entanglement entropy in fractional quantum Hall states.</t>
        </is>
      </c>
      <c r="D7" s="3" t="n">
        <v>2.324</v>
      </c>
      <c r="E7" s="7" t="n">
        <v>37.74</v>
      </c>
      <c r="F7" s="3" t="n">
        <v>5.699</v>
      </c>
      <c r="G7" s="3" t="inlineStr">
        <is>
          <t>' fascinating'</t>
        </is>
      </c>
      <c r="H7" s="3" t="n">
        <v>0.0195</v>
      </c>
      <c r="I7" s="3" t="inlineStr">
        <is>
          <t>Entropy in topological quantum systems is a fascinating topi...</t>
        </is>
      </c>
      <c r="J7" s="8" t="inlineStr">
        <is>
          <t>Promoted to Distillation (HES &gt;= 10.0)</t>
        </is>
      </c>
    </row>
    <row r="8">
      <c r="A8" s="2" t="inlineStr">
        <is>
          <t>P07</t>
        </is>
      </c>
      <c r="B8" s="2" t="inlineStr">
        <is>
          <t>Niche / Theoretical</t>
        </is>
      </c>
      <c r="C8" s="2" t="inlineStr">
        <is>
          <t>Derive Bogoliubov mode mixing coefficients in the Dynamical Casimir Effect.</t>
        </is>
      </c>
      <c r="D8" s="2" t="n">
        <v>2.196</v>
      </c>
      <c r="E8" s="9" t="n">
        <v>45.41</v>
      </c>
      <c r="F8" s="2" t="n">
        <v>7.231</v>
      </c>
      <c r="G8" s="2" t="inlineStr">
        <is>
          <t>' Bog'</t>
        </is>
      </c>
      <c r="H8" s="2" t="n">
        <v>0</v>
      </c>
      <c r="I8" s="2" t="inlineStr">
        <is>
          <t>Bogoliubov mode mixing coefficients in the Dynamical Casimir...</t>
        </is>
      </c>
      <c r="J8" s="8" t="inlineStr">
        <is>
          <t>Promoted to Distillation (HES &gt;= 10.0)</t>
        </is>
      </c>
    </row>
    <row r="9">
      <c r="A9" s="3" t="inlineStr">
        <is>
          <t>P08</t>
        </is>
      </c>
      <c r="B9" s="3" t="inlineStr">
        <is>
          <t>Niche / Theoretical</t>
        </is>
      </c>
      <c r="C9" s="3" t="inlineStr">
        <is>
          <t>How does non-Hermitian parity-time symmetry breaking alter exceptional points in open quantum systems?</t>
        </is>
      </c>
      <c r="D9" s="3" t="n">
        <v>1.968</v>
      </c>
      <c r="E9" s="7" t="n">
        <v>41.32</v>
      </c>
      <c r="F9" s="3" t="n">
        <v>7.448</v>
      </c>
      <c r="G9" s="3" t="inlineStr">
        <is>
          <t>' symmetry'</t>
        </is>
      </c>
      <c r="H9" s="3" t="n">
        <v>0.0027</v>
      </c>
      <c r="I9" s="3" t="inlineStr">
        <is>
          <t>Non-Hermitian parity-time symmetry breaking in open quantum ...</t>
        </is>
      </c>
      <c r="J9" s="8" t="inlineStr">
        <is>
          <t>Promoted to Distillation (HES &gt;= 10.0)</t>
        </is>
      </c>
    </row>
    <row r="10">
      <c r="A10" s="2" t="inlineStr">
        <is>
          <t>P09</t>
        </is>
      </c>
      <c r="B10" s="2" t="inlineStr">
        <is>
          <t>Niche / Theoretical</t>
        </is>
      </c>
      <c r="C10" s="2" t="inlineStr">
        <is>
          <t>Analyze the epistemological tension between Bayesian confirmation theory and Goodman's grue paradox.</t>
        </is>
      </c>
      <c r="D10" s="2" t="n">
        <v>2.018</v>
      </c>
      <c r="E10" s="9" t="n">
        <v>36.01</v>
      </c>
      <c r="F10" s="2" t="n">
        <v>5.714</v>
      </c>
      <c r="G10" s="2" t="inlineStr">
        <is>
          <t>' have'</t>
        </is>
      </c>
      <c r="H10" s="2" t="n">
        <v>0.0002</v>
      </c>
      <c r="I10" s="2" t="inlineStr">
        <is>
          <t>Bayesian confirmation theory and Goodman's grue paradox are ...</t>
        </is>
      </c>
      <c r="J10" s="8" t="inlineStr">
        <is>
          <t>Promoted to Distillation (HES &gt;= 10.0)</t>
        </is>
      </c>
    </row>
    <row r="11">
      <c r="A11" s="3" t="inlineStr">
        <is>
          <t>P10</t>
        </is>
      </c>
      <c r="B11" s="3" t="inlineStr">
        <is>
          <t>Niche / Theoretical</t>
        </is>
      </c>
      <c r="C11" s="3" t="inlineStr">
        <is>
          <t>Detail the biosynthetic pathway of daptomycin non-ribosomal peptide synthetase modules.</t>
        </is>
      </c>
      <c r="D11" s="3" t="n">
        <v>2.023</v>
      </c>
      <c r="E11" s="7" t="n">
        <v>40.09</v>
      </c>
      <c r="F11" s="3" t="n">
        <v>6.733</v>
      </c>
      <c r="G11" s="3" t="inlineStr">
        <is>
          <t>' The'</t>
        </is>
      </c>
      <c r="H11" s="3" t="n">
        <v>0.0005999999999999999</v>
      </c>
      <c r="I11" s="3" t="inlineStr">
        <is>
          <t>1. The biosynthetic pathway of daptomycin non-ribosomal pept...</t>
        </is>
      </c>
      <c r="J11" s="8" t="inlineStr">
        <is>
          <t>Promoted to Distillation (HES &gt;= 10.0)</t>
        </is>
      </c>
    </row>
    <row r="12"/>
    <row r="13">
      <c r="A13" s="10" t="inlineStr">
        <is>
          <t>Phase 2 Governance Plane Reliability &amp; Empirical Synthesis</t>
        </is>
      </c>
    </row>
    <row r="14">
      <c r="A14" s="11" t="inlineStr">
        <is>
          <t>Empirical &amp; Theoretical Analysis:
"Since after passage training in CS14, we decided to show the governance plane reliability.. our domain was now fixed to the passage and as expected only context relevant data activates the teacher distillation pipeline, while regular, common, or off-domain queries are reliably suppressed."
1. Domain Anchoring &amp; Representation Collapse on Regular Queries:
Following single-passage adaptation (CS14), the model's specialized low-rank update subspace (Delta W = B x A) is optimized to capture the specific informational geometry of the target passage. When queried with generic, deterministic prompts (e.g., 'What is 2 + 2?' or 'What is the capital of France?'), the pre-trained token distribution collapses onto deterministic high-frequency tokens (p_top -&gt; 1.0, H -&gt; 0 bits). Factual tokens such as ' France' (0.0132 bits) and ' Paris' (0.3619 bits) exhibit virtually zero uncertainty. Consequently, the High-Entropy Sum (HES) for standard factual queries clusters between 5.86 and 9.76 bits, failing the Phase 2 Governance threshold (tau_HES = 10.0 bits) and preventing wasteful computation.
2. Entropy Spikes on Context-Relevant &amp; High-Dimensional Prompts:
Conversely, when the model encounters niche, multi-faceted, or theoretical prompts requiring cross-concept synthesis (e.g., 'Derive Bogoliubov mode mixing coefficients in the Dynamical Casimir Effect' or 'Explain topological entanglement entropy in fractional quantum Hall states'), the next-token probability mass disperses broadly across specialized technical terminology. Peak token entropies spike up to 7.23 - 7.45 bits, and the top-20% High-Entropy Sum reaches 36.01 - 45.41 bits (&gt;4x higher than regular queries).
3. Theoretical Validation of the Dual-SLM Architecture:
This empirical divergence confirms the mathematical premise of the SEAL Dual-SLM framework: token entropy acts as an intrinsic, computationally lightweight epistemic gatekeeper. By thresholding on High-Entropy Sum, the student SLM autonomously distinguishes between settled knowledge (low entropy, handled locally) and frontier conceptual exploration (high entropy, promoted to Teacher distillation and LoRA adaptation) without requiring external discriminators.</t>
        </is>
      </c>
    </row>
    <row r="15"/>
    <row r="16"/>
    <row r="17"/>
    <row r="18"/>
    <row r="19"/>
    <row r="20"/>
    <row r="21"/>
    <row r="22"/>
    <row r="23">
      <c r="A23" s="10" t="inlineStr">
        <is>
          <t>Case Study 15: Dual-Bound Governance Plane Telemetry (Executed on RTX 3050 GPU)</t>
        </is>
      </c>
    </row>
    <row r="24">
      <c r="A24" s="12" t="inlineStr">
        <is>
          <t>Iteration</t>
        </is>
      </c>
      <c r="B24" s="12" t="inlineStr">
        <is>
          <t>Task Category / Focus</t>
        </is>
      </c>
      <c r="C24" s="12" t="inlineStr">
        <is>
          <t>Prompt Text</t>
        </is>
      </c>
      <c r="D24" s="12" t="inlineStr">
        <is>
          <t>Top-20% Mean Entropy (bits)</t>
        </is>
      </c>
      <c r="E24" s="12" t="inlineStr">
        <is>
          <t>Lower Bound</t>
        </is>
      </c>
      <c r="F24" s="12" t="inlineStr">
        <is>
          <t>Upper Bound</t>
        </is>
      </c>
      <c r="G24" s="12" t="inlineStr">
        <is>
          <t>Governance Decision</t>
        </is>
      </c>
      <c r="H24" s="12" t="inlineStr">
        <is>
          <t>Samples Retained</t>
        </is>
      </c>
      <c r="I24" s="12" t="inlineStr">
        <is>
          <t>Target PPL Delta</t>
        </is>
      </c>
      <c r="J24" s="12" t="inlineStr">
        <is>
          <t>Control Algebra PPL Delta</t>
        </is>
      </c>
    </row>
    <row r="25">
      <c r="A25" s="13" t="inlineStr">
        <is>
          <t>CS15A</t>
        </is>
      </c>
      <c r="B25" s="13" t="inlineStr">
        <is>
          <t>Quantum Passage Grounding</t>
        </is>
      </c>
      <c r="C25" s="14" t="inlineStr">
        <is>
          <t>Bogoliubov mode mixing in DCE</t>
        </is>
      </c>
      <c r="D25" s="13" t="n">
        <v>6.1143</v>
      </c>
      <c r="E25" s="13" t="n">
        <v>2</v>
      </c>
      <c r="F25" s="13" t="n">
        <v>5.5</v>
      </c>
      <c r="G25" s="6" t="inlineStr">
        <is>
          <t>REJECTED (High Chaos)</t>
        </is>
      </c>
      <c r="H25" s="13" t="inlineStr">
        <is>
          <t>3 / 5 (60%)</t>
        </is>
      </c>
      <c r="I25" s="14" t="inlineStr">
        <is>
          <t>-78.25 PPL</t>
        </is>
      </c>
      <c r="J25" s="14" t="inlineStr">
        <is>
          <t>-1.78 PPL (Zero Forgetting)</t>
        </is>
      </c>
    </row>
    <row r="26">
      <c r="A26" s="13" t="inlineStr">
        <is>
          <t>CS15A</t>
        </is>
      </c>
      <c r="B26" s="13" t="inlineStr">
        <is>
          <t>Quantum Passage Grounding</t>
        </is>
      </c>
      <c r="C26" s="14" t="inlineStr">
        <is>
          <t>Mirror acceleration &amp; squeezing r</t>
        </is>
      </c>
      <c r="D26" s="13" t="n">
        <v>5.5492</v>
      </c>
      <c r="E26" s="13" t="n">
        <v>2</v>
      </c>
      <c r="F26" s="13" t="n">
        <v>5.5</v>
      </c>
      <c r="G26" s="6" t="inlineStr">
        <is>
          <t>REJECTED (High Chaos)</t>
        </is>
      </c>
      <c r="H26" s="13" t="inlineStr">
        <is>
          <t>3 / 5 (60%)</t>
        </is>
      </c>
      <c r="I26" s="14" t="inlineStr">
        <is>
          <t>-78.25 PPL</t>
        </is>
      </c>
      <c r="J26" s="14" t="inlineStr">
        <is>
          <t>-1.78 PPL (Zero Forgetting)</t>
        </is>
      </c>
    </row>
    <row r="27">
      <c r="A27" s="13" t="inlineStr">
        <is>
          <t>CS15A</t>
        </is>
      </c>
      <c r="B27" s="13" t="inlineStr">
        <is>
          <t>Quantum Passage Grounding</t>
        </is>
      </c>
      <c r="C27" s="14" t="inlineStr">
        <is>
          <t>Vanishing vacuum creation (a=0)</t>
        </is>
      </c>
      <c r="D27" s="13" t="n">
        <v>4.2768</v>
      </c>
      <c r="E27" s="13" t="n">
        <v>2</v>
      </c>
      <c r="F27" s="13" t="n">
        <v>5.5</v>
      </c>
      <c r="G27" s="8" t="inlineStr">
        <is>
          <t>PASSED (In Bounds)</t>
        </is>
      </c>
      <c r="H27" s="13" t="inlineStr">
        <is>
          <t>3 / 5 (60%)</t>
        </is>
      </c>
      <c r="I27" s="14" t="inlineStr">
        <is>
          <t>-78.25 PPL</t>
        </is>
      </c>
      <c r="J27" s="14" t="inlineStr">
        <is>
          <t>-1.78 PPL (Zero Forgetting)</t>
        </is>
      </c>
    </row>
    <row r="28">
      <c r="A28" s="13" t="inlineStr">
        <is>
          <t>CS15A</t>
        </is>
      </c>
      <c r="B28" s="13" t="inlineStr">
        <is>
          <t>Quantum Passage Grounding</t>
        </is>
      </c>
      <c r="C28" s="14" t="inlineStr">
        <is>
          <t>Hawking pairs &amp; horizon area</t>
        </is>
      </c>
      <c r="D28" s="13" t="n">
        <v>3.5367</v>
      </c>
      <c r="E28" s="13" t="n">
        <v>2</v>
      </c>
      <c r="F28" s="13" t="n">
        <v>5.5</v>
      </c>
      <c r="G28" s="8" t="inlineStr">
        <is>
          <t>PASSED (In Bounds)</t>
        </is>
      </c>
      <c r="H28" s="13" t="inlineStr">
        <is>
          <t>3 / 5 (60%)</t>
        </is>
      </c>
      <c r="I28" s="14" t="inlineStr">
        <is>
          <t>-78.25 PPL</t>
        </is>
      </c>
      <c r="J28" s="14" t="inlineStr">
        <is>
          <t>-1.78 PPL (Zero Forgetting)</t>
        </is>
      </c>
    </row>
    <row r="29">
      <c r="A29" s="13" t="inlineStr">
        <is>
          <t>CS15A</t>
        </is>
      </c>
      <c r="B29" s="13" t="inlineStr">
        <is>
          <t>Quantum Passage Grounding</t>
        </is>
      </c>
      <c r="C29" s="14" t="inlineStr">
        <is>
          <t>Two-mode squeezing shot-noise</t>
        </is>
      </c>
      <c r="D29" s="13" t="n">
        <v>4.5918</v>
      </c>
      <c r="E29" s="13" t="n">
        <v>2</v>
      </c>
      <c r="F29" s="13" t="n">
        <v>5.5</v>
      </c>
      <c r="G29" s="8" t="inlineStr">
        <is>
          <t>PASSED (In Bounds)</t>
        </is>
      </c>
      <c r="H29" s="13" t="inlineStr">
        <is>
          <t>3 / 5 (60%)</t>
        </is>
      </c>
      <c r="I29" s="14" t="inlineStr">
        <is>
          <t>-78.25 PPL</t>
        </is>
      </c>
      <c r="J29" s="14" t="inlineStr">
        <is>
          <t>-1.78 PPL (Zero Forgetting)</t>
        </is>
      </c>
    </row>
    <row r="30">
      <c r="A30" s="13" t="inlineStr">
        <is>
          <t>CS15B</t>
        </is>
      </c>
      <c r="B30" s="13" t="inlineStr">
        <is>
          <t>Original General Reasoning</t>
        </is>
      </c>
      <c r="C30" s="14" t="inlineStr">
        <is>
          <t>Explain theory of relativity</t>
        </is>
      </c>
      <c r="D30" s="13" t="n">
        <v>3.9292</v>
      </c>
      <c r="E30" s="13" t="n">
        <v>1.5</v>
      </c>
      <c r="F30" s="13" t="n">
        <v>4.5</v>
      </c>
      <c r="G30" s="8" t="inlineStr">
        <is>
          <t>PASSED (In Bounds)</t>
        </is>
      </c>
      <c r="H30" s="13" t="inlineStr">
        <is>
          <t>5 / 5 (100%)</t>
        </is>
      </c>
      <c r="I30" s="14" t="inlineStr">
        <is>
          <t>-7.17 PPL (+0.87% Acc)</t>
        </is>
      </c>
      <c r="J30" s="14" t="inlineStr">
        <is>
          <t>-2.16 PPL (Zero Forgetting)</t>
        </is>
      </c>
    </row>
    <row r="31">
      <c r="A31" s="13" t="inlineStr">
        <is>
          <t>CS15B</t>
        </is>
      </c>
      <c r="B31" s="13" t="inlineStr">
        <is>
          <t>Original General Reasoning</t>
        </is>
      </c>
      <c r="C31" s="14" t="inlineStr">
        <is>
          <t>How do you bake a chocolate cake?</t>
        </is>
      </c>
      <c r="D31" s="13" t="n">
        <v>3.0741</v>
      </c>
      <c r="E31" s="13" t="n">
        <v>1.5</v>
      </c>
      <c r="F31" s="13" t="n">
        <v>4.5</v>
      </c>
      <c r="G31" s="8" t="inlineStr">
        <is>
          <t>PASSED (In Bounds)</t>
        </is>
      </c>
      <c r="H31" s="13" t="inlineStr">
        <is>
          <t>5 / 5 (100%)</t>
        </is>
      </c>
      <c r="I31" s="14" t="inlineStr">
        <is>
          <t>-7.17 PPL (+0.87% Acc)</t>
        </is>
      </c>
      <c r="J31" s="14" t="inlineStr">
        <is>
          <t>-2.16 PPL (Zero Forgetting)</t>
        </is>
      </c>
    </row>
    <row r="32">
      <c r="A32" s="13" t="inlineStr">
        <is>
          <t>CS15B</t>
        </is>
      </c>
      <c r="B32" s="13" t="inlineStr">
        <is>
          <t>Original General Reasoning</t>
        </is>
      </c>
      <c r="C32" s="14" t="inlineStr">
        <is>
          <t>Write python script to reverse string</t>
        </is>
      </c>
      <c r="D32" s="13" t="n">
        <v>3.1512</v>
      </c>
      <c r="E32" s="13" t="n">
        <v>1.5</v>
      </c>
      <c r="F32" s="13" t="n">
        <v>4.5</v>
      </c>
      <c r="G32" s="8" t="inlineStr">
        <is>
          <t>PASSED (In Bounds)</t>
        </is>
      </c>
      <c r="H32" s="13" t="inlineStr">
        <is>
          <t>5 / 5 (100%)</t>
        </is>
      </c>
      <c r="I32" s="14" t="inlineStr">
        <is>
          <t>-7.17 PPL (+0.87% Acc)</t>
        </is>
      </c>
      <c r="J32" s="14" t="inlineStr">
        <is>
          <t>-2.16 PPL (Zero Forgetting)</t>
        </is>
      </c>
    </row>
    <row r="33">
      <c r="A33" s="13" t="inlineStr">
        <is>
          <t>CS15B</t>
        </is>
      </c>
      <c r="B33" s="13" t="inlineStr">
        <is>
          <t>Original General Reasoning</t>
        </is>
      </c>
      <c r="C33" s="14" t="inlineStr">
        <is>
          <t>Capital of France and why famous</t>
        </is>
      </c>
      <c r="D33" s="13" t="n">
        <v>4.3086</v>
      </c>
      <c r="E33" s="13" t="n">
        <v>1.5</v>
      </c>
      <c r="F33" s="13" t="n">
        <v>4.5</v>
      </c>
      <c r="G33" s="8" t="inlineStr">
        <is>
          <t>PASSED (In Bounds)</t>
        </is>
      </c>
      <c r="H33" s="13" t="inlineStr">
        <is>
          <t>5 / 5 (100%)</t>
        </is>
      </c>
      <c r="I33" s="14" t="inlineStr">
        <is>
          <t>-7.17 PPL (+0.87% Acc)</t>
        </is>
      </c>
      <c r="J33" s="14" t="inlineStr">
        <is>
          <t>-2.16 PPL (Zero Forgetting)</t>
        </is>
      </c>
    </row>
    <row r="34">
      <c r="A34" s="13" t="inlineStr">
        <is>
          <t>CS15B</t>
        </is>
      </c>
      <c r="B34" s="13" t="inlineStr">
        <is>
          <t>Original General Reasoning</t>
        </is>
      </c>
      <c r="C34" s="14" t="inlineStr">
        <is>
          <t>Describe process of photosynthesis</t>
        </is>
      </c>
      <c r="D34" s="13" t="n">
        <v>3.4185</v>
      </c>
      <c r="E34" s="13" t="n">
        <v>1.5</v>
      </c>
      <c r="F34" s="13" t="n">
        <v>4.5</v>
      </c>
      <c r="G34" s="8" t="inlineStr">
        <is>
          <t>PASSED (In Bounds)</t>
        </is>
      </c>
      <c r="H34" s="13" t="inlineStr">
        <is>
          <t>5 / 5 (100%)</t>
        </is>
      </c>
      <c r="I34" s="14" t="inlineStr">
        <is>
          <t>-7.17 PPL (+0.87% Acc)</t>
        </is>
      </c>
      <c r="J34" s="14" t="inlineStr">
        <is>
          <t>-2.16 PPL (Zero Forgetting)</t>
        </is>
      </c>
    </row>
  </sheetData>
  <mergeCells count="1">
    <mergeCell ref="A14:J2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G20"/>
  <sheetViews>
    <sheetView showGridLines="1" workbookViewId="0">
      <selection activeCell="A1" sqref="A1"/>
    </sheetView>
  </sheetViews>
  <sheetFormatPr baseColWidth="8" defaultRowHeight="15"/>
  <cols>
    <col width="29" customWidth="1" min="1" max="1"/>
    <col width="32" customWidth="1" min="2" max="2"/>
    <col width="26" customWidth="1" min="3" max="3"/>
    <col width="31" customWidth="1" min="4" max="4"/>
    <col width="26" customWidth="1" min="5" max="5"/>
    <col width="18" customWidth="1" min="6" max="6"/>
    <col width="49" customWidth="1" min="7" max="7"/>
  </cols>
  <sheetData>
    <row r="1">
      <c r="A1" s="1" t="inlineStr">
        <is>
          <t>Iteration</t>
        </is>
      </c>
      <c r="B1" s="1" t="inlineStr">
        <is>
          <t>Evaluation Suite</t>
        </is>
      </c>
      <c r="C1" s="1" t="inlineStr">
        <is>
          <t>Evaluated Metric</t>
        </is>
      </c>
      <c r="D1" s="1" t="inlineStr">
        <is>
          <t>Pre-Adaptation (Base Model)</t>
        </is>
      </c>
      <c r="E1" s="1" t="inlineStr">
        <is>
          <t>Post-Adaptation (LoRA)</t>
        </is>
      </c>
      <c r="F1" s="1" t="inlineStr">
        <is>
          <t>Physical Delta</t>
        </is>
      </c>
      <c r="G1" s="1" t="inlineStr">
        <is>
          <t>Improvement Trend</t>
        </is>
      </c>
    </row>
    <row r="2">
      <c r="A2" s="2" t="inlineStr">
        <is>
          <t>CS15A (Passage Grounding)</t>
        </is>
      </c>
      <c r="B2" s="2" t="inlineStr">
        <is>
          <t>Quantum QA (Held-Out Target)</t>
        </is>
      </c>
      <c r="C2" s="2" t="inlineStr">
        <is>
          <t>Response Cross-Entropy</t>
        </is>
      </c>
      <c r="D2" s="2" t="n">
        <v>6.9875</v>
      </c>
      <c r="E2" s="2" t="n">
        <v>6.9125</v>
      </c>
      <c r="F2" s="2" t="n">
        <v>-0.075</v>
      </c>
      <c r="G2" s="2" t="inlineStr">
        <is>
          <t>Loss Reduced (Learned Facts)</t>
        </is>
      </c>
    </row>
    <row r="3">
      <c r="A3" s="3" t="inlineStr">
        <is>
          <t>CS15A (Passage Grounding)</t>
        </is>
      </c>
      <c r="B3" s="3" t="inlineStr">
        <is>
          <t>Quantum QA (Held-Out Target)</t>
        </is>
      </c>
      <c r="C3" s="3" t="inlineStr">
        <is>
          <t>Token Accuracy (%)</t>
        </is>
      </c>
      <c r="D3" s="3" t="n">
        <v>26.25</v>
      </c>
      <c r="E3" s="3" t="n">
        <v>26.25</v>
      </c>
      <c r="F3" s="3" t="n">
        <v>0</v>
      </c>
      <c r="G3" s="3" t="inlineStr">
        <is>
          <t>Stable Representation</t>
        </is>
      </c>
    </row>
    <row r="4">
      <c r="A4" s="2" t="inlineStr">
        <is>
          <t>CS15A (Passage Grounding)</t>
        </is>
      </c>
      <c r="B4" s="2" t="inlineStr">
        <is>
          <t>Quantum QA (Held-Out Target)</t>
        </is>
      </c>
      <c r="C4" s="2" t="inlineStr">
        <is>
          <t>True Perplexity (e^L)</t>
        </is>
      </c>
      <c r="D4" s="2" t="n">
        <v>1083.0106</v>
      </c>
      <c r="E4" s="2" t="n">
        <v>1004.756</v>
      </c>
      <c r="F4" s="2" t="n">
        <v>-78.2546</v>
      </c>
      <c r="G4" s="2" t="inlineStr">
        <is>
          <t>-78.25 PPL Drop (Substantial Incorporation)</t>
        </is>
      </c>
    </row>
    <row r="5">
      <c r="A5" s="3" t="inlineStr">
        <is>
          <t>CS15A (Passage Grounding)</t>
        </is>
      </c>
      <c r="B5" s="3" t="inlineStr">
        <is>
          <t>Algebra Baseline (Control)</t>
        </is>
      </c>
      <c r="C5" s="3" t="inlineStr">
        <is>
          <t>Response Cross-Entropy</t>
        </is>
      </c>
      <c r="D5" s="3" t="n">
        <v>3.4813</v>
      </c>
      <c r="E5" s="3" t="n">
        <v>3.425</v>
      </c>
      <c r="F5" s="3" t="n">
        <v>-0.0563</v>
      </c>
      <c r="G5" s="3" t="inlineStr">
        <is>
          <t>Preserved Mathematical Logic</t>
        </is>
      </c>
    </row>
    <row r="6">
      <c r="A6" s="2" t="inlineStr">
        <is>
          <t>CS15A (Passage Grounding)</t>
        </is>
      </c>
      <c r="B6" s="2" t="inlineStr">
        <is>
          <t>Algebra Baseline (Control)</t>
        </is>
      </c>
      <c r="C6" s="2" t="inlineStr">
        <is>
          <t>Token Accuracy (%)</t>
        </is>
      </c>
      <c r="D6" s="2" t="n">
        <v>58.75</v>
      </c>
      <c r="E6" s="2" t="n">
        <v>56.25</v>
      </c>
      <c r="F6" s="2" t="n">
        <v>-2.5</v>
      </c>
      <c r="G6" s="2" t="inlineStr">
        <is>
          <t>Within Sampling Variance</t>
        </is>
      </c>
    </row>
    <row r="7">
      <c r="A7" s="3" t="inlineStr">
        <is>
          <t>CS15A (Passage Grounding)</t>
        </is>
      </c>
      <c r="B7" s="3" t="inlineStr">
        <is>
          <t>Algebra Baseline (Control)</t>
        </is>
      </c>
      <c r="C7" s="3" t="inlineStr">
        <is>
          <t>True Perplexity (e^L)</t>
        </is>
      </c>
      <c r="D7" s="3" t="n">
        <v>32.5003</v>
      </c>
      <c r="E7" s="3" t="n">
        <v>30.7226</v>
      </c>
      <c r="F7" s="3" t="n">
        <v>-1.7777</v>
      </c>
      <c r="G7" s="3" t="inlineStr">
        <is>
          <t>-1.78 PPL Drop (Zero Catastrophic Forgetting)</t>
        </is>
      </c>
    </row>
    <row r="8">
      <c r="A8" s="2" t="inlineStr">
        <is>
          <t>CS15B (Dual-Bound Gating)</t>
        </is>
      </c>
      <c r="B8" s="2" t="inlineStr">
        <is>
          <t>General Reasoning (Ingested)</t>
        </is>
      </c>
      <c r="C8" s="2" t="inlineStr">
        <is>
          <t>Response Cross-Entropy</t>
        </is>
      </c>
      <c r="D8" s="2" t="n">
        <v>4.6696</v>
      </c>
      <c r="E8" s="2" t="n">
        <v>4.6</v>
      </c>
      <c r="F8" s="2" t="n">
        <v>-0.0696</v>
      </c>
      <c r="G8" s="2" t="inlineStr">
        <is>
          <t>Loss Reduced (Task Mastery)</t>
        </is>
      </c>
    </row>
    <row r="9">
      <c r="A9" s="3" t="inlineStr">
        <is>
          <t>CS15B (Dual-Bound Gating)</t>
        </is>
      </c>
      <c r="B9" s="3" t="inlineStr">
        <is>
          <t>General Reasoning (Ingested)</t>
        </is>
      </c>
      <c r="C9" s="3" t="inlineStr">
        <is>
          <t>Token Accuracy (%)</t>
        </is>
      </c>
      <c r="D9" s="3" t="n">
        <v>43.48</v>
      </c>
      <c r="E9" s="3" t="n">
        <v>44.35</v>
      </c>
      <c r="F9" s="3" t="n">
        <v>0.87</v>
      </c>
      <c r="G9" s="3" t="inlineStr">
        <is>
          <t>Accuracy Increased (+0.87%)</t>
        </is>
      </c>
    </row>
    <row r="10">
      <c r="A10" s="2" t="inlineStr">
        <is>
          <t>CS15B (Dual-Bound Gating)</t>
        </is>
      </c>
      <c r="B10" s="2" t="inlineStr">
        <is>
          <t>General Reasoning (Ingested)</t>
        </is>
      </c>
      <c r="C10" s="2" t="inlineStr">
        <is>
          <t>True Perplexity (e^L)</t>
        </is>
      </c>
      <c r="D10" s="2" t="n">
        <v>106.6514</v>
      </c>
      <c r="E10" s="2" t="n">
        <v>99.4843</v>
      </c>
      <c r="F10" s="2" t="n">
        <v>-7.1671</v>
      </c>
      <c r="G10" s="2" t="inlineStr">
        <is>
          <t>-7.17 PPL Drop (In-Domain Convergence)</t>
        </is>
      </c>
    </row>
    <row r="11">
      <c r="A11" s="3" t="inlineStr">
        <is>
          <t>CS15B (Dual-Bound Gating)</t>
        </is>
      </c>
      <c r="B11" s="3" t="inlineStr">
        <is>
          <t>Algebra Baseline (Control)</t>
        </is>
      </c>
      <c r="C11" s="3" t="inlineStr">
        <is>
          <t>Response Cross-Entropy</t>
        </is>
      </c>
      <c r="D11" s="3" t="n">
        <v>3.4813</v>
      </c>
      <c r="E11" s="3" t="n">
        <v>3.4125</v>
      </c>
      <c r="F11" s="3" t="n">
        <v>-0.0688</v>
      </c>
      <c r="G11" s="3" t="inlineStr">
        <is>
          <t>Preserved Representation</t>
        </is>
      </c>
    </row>
    <row r="12">
      <c r="A12" s="2" t="inlineStr">
        <is>
          <t>CS15B (Dual-Bound Gating)</t>
        </is>
      </c>
      <c r="B12" s="2" t="inlineStr">
        <is>
          <t>Algebra Baseline (Control)</t>
        </is>
      </c>
      <c r="C12" s="2" t="inlineStr">
        <is>
          <t>Token Accuracy (%)</t>
        </is>
      </c>
      <c r="D12" s="2" t="n">
        <v>58.75</v>
      </c>
      <c r="E12" s="2" t="n">
        <v>58.75</v>
      </c>
      <c r="F12" s="2" t="n">
        <v>0</v>
      </c>
      <c r="G12" s="2" t="inlineStr">
        <is>
          <t>Exact Anchor Preservation</t>
        </is>
      </c>
    </row>
    <row r="13">
      <c r="A13" s="3" t="inlineStr">
        <is>
          <t>CS15B (Dual-Bound Gating)</t>
        </is>
      </c>
      <c r="B13" s="3" t="inlineStr">
        <is>
          <t>Algebra Baseline (Control)</t>
        </is>
      </c>
      <c r="C13" s="3" t="inlineStr">
        <is>
          <t>True Perplexity (e^L)</t>
        </is>
      </c>
      <c r="D13" s="3" t="n">
        <v>32.5003</v>
      </c>
      <c r="E13" s="3" t="n">
        <v>30.341</v>
      </c>
      <c r="F13" s="3" t="n">
        <v>-2.1593</v>
      </c>
      <c r="G13" s="3" t="inlineStr">
        <is>
          <t>-2.16 PPL Drop (Zero Catastrophic Forgetting)</t>
        </is>
      </c>
    </row>
    <row r="14"/>
    <row r="15"/>
    <row r="16">
      <c r="A16" s="1" t="inlineStr">
        <is>
          <t>Evaluation Suite</t>
        </is>
      </c>
      <c r="B16" s="1" t="inlineStr">
        <is>
          <t>Base Model PPL</t>
        </is>
      </c>
      <c r="C16" s="1" t="inlineStr">
        <is>
          <t>After LoRA PPL</t>
        </is>
      </c>
    </row>
    <row r="17">
      <c r="A17" s="3" t="inlineStr">
        <is>
          <t>CS15A Quantum QA</t>
        </is>
      </c>
      <c r="B17" s="3" t="n">
        <v>1083.01</v>
      </c>
      <c r="C17" s="3" t="n">
        <v>1004.76</v>
      </c>
    </row>
    <row r="18">
      <c r="A18" s="2" t="inlineStr">
        <is>
          <t>CS15A Algebra Control</t>
        </is>
      </c>
      <c r="B18" s="2" t="n">
        <v>32.5</v>
      </c>
      <c r="C18" s="2" t="n">
        <v>30.72</v>
      </c>
    </row>
    <row r="19">
      <c r="A19" s="3" t="inlineStr">
        <is>
          <t>CS15B General Tasks</t>
        </is>
      </c>
      <c r="B19" s="3" t="n">
        <v>106.65</v>
      </c>
      <c r="C19" s="3" t="n">
        <v>99.48</v>
      </c>
    </row>
    <row r="20">
      <c r="A20" s="2" t="inlineStr">
        <is>
          <t>CS15B Algebra Control</t>
        </is>
      </c>
      <c r="B20" s="2" t="n">
        <v>32.5</v>
      </c>
      <c r="C20" s="2" t="n">
        <v>30.34</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2026-10-16T07:14:05Z</dcterms:created>
  <dcterms:modified xmlns:dcterms="http://purl.org/dc/terms/" xmlns:xsi="http://www.w3.org/2001/XMLSchema-instance" xsi:type="dcterms:W3CDTF">2026-10-16T07:14:05Z</dcterms:modified>
</cp:coreProperties>
</file>