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rrish Rebba\OneDrive\ドキュメント\RM\Findings\"/>
    </mc:Choice>
  </mc:AlternateContent>
  <xr:revisionPtr revIDLastSave="0" documentId="13_ncr:1_{B278A3E5-7742-4C68-867C-85355B2492FC}" xr6:coauthVersionLast="47" xr6:coauthVersionMax="47" xr10:uidLastSave="{00000000-0000-0000-0000-000000000000}"/>
  <bookViews>
    <workbookView xWindow="-108" yWindow="-108" windowWidth="23256" windowHeight="12456" firstSheet="2" activeTab="4" xr2:uid="{00000000-000D-0000-FFFF-FFFF00000000}"/>
  </bookViews>
  <sheets>
    <sheet name="Master_Training_Telemetry" sheetId="1" r:id="rId1"/>
    <sheet name="CS14_Physical_Audit" sheetId="2" r:id="rId2"/>
    <sheet name="Knowledge_Incorporation_Bench" sheetId="3" r:id="rId3"/>
    <sheet name="Continual_Retention_Progression" sheetId="4" r:id="rId4"/>
    <sheet name="Governance_Entropy_Evaluation" sheetId="5" r:id="rId5"/>
  </sheets>
  <calcPr calcId="0"/>
</workbook>
</file>

<file path=xl/sharedStrings.xml><?xml version="1.0" encoding="utf-8"?>
<sst xmlns="http://schemas.openxmlformats.org/spreadsheetml/2006/main" count="185" uniqueCount="159">
  <si>
    <t>Case Study</t>
  </si>
  <si>
    <t>Steps</t>
  </si>
  <si>
    <t>Start Loss</t>
  </si>
  <si>
    <t>Final Loss</t>
  </si>
  <si>
    <t>Start Token Acc (%)</t>
  </si>
  <si>
    <t>Final Token Acc (%)</t>
  </si>
  <si>
    <t>Start Grad Norm</t>
  </si>
  <si>
    <t>Final Grad Norm</t>
  </si>
  <si>
    <t>Final Entropy (bits)</t>
  </si>
  <si>
    <t>Total FLOPS</t>
  </si>
  <si>
    <t>True Algebra PPL</t>
  </si>
  <si>
    <t>True Empathy PPL</t>
  </si>
  <si>
    <t>CS1 (Initial Baseline)</t>
  </si>
  <si>
    <t>CS2 (Continuous Algebra)</t>
  </si>
  <si>
    <t>CS3 (Multi-Lingual Shift)</t>
  </si>
  <si>
    <t>CS4 (Fact Flooding)</t>
  </si>
  <si>
    <t>CS5 (Creative Writing)</t>
  </si>
  <si>
    <t>CS6 (Conflicting Logic)</t>
  </si>
  <si>
    <t>CS7 (Multi-Domain Barrage)</t>
  </si>
  <si>
    <t>CS8 (Strict Coding Logic)</t>
  </si>
  <si>
    <t>CS9 (Governance Inversion)</t>
  </si>
  <si>
    <t>CS10 (No-LoRA Collapse)</t>
  </si>
  <si>
    <t>CS11 (Extreme Saturation)</t>
  </si>
  <si>
    <t>CS13 (Semantic Decoupling)</t>
  </si>
  <si>
    <t>CS14 (Quantum Knowledge)</t>
  </si>
  <si>
    <t>Evaluation Suite</t>
  </si>
  <si>
    <t>Evaluated Metric</t>
  </si>
  <si>
    <t>Pre-Adaptation (Base Model)</t>
  </si>
  <si>
    <t>Post-Adaptation (CS14 LoRA)</t>
  </si>
  <si>
    <t>Physical Delta</t>
  </si>
  <si>
    <t>Improvement Trend</t>
  </si>
  <si>
    <t>Quantum QA (Held-Out)</t>
  </si>
  <si>
    <t>Response Cross-Entropy</t>
  </si>
  <si>
    <t>Loss Reduced (Learned Facts)</t>
  </si>
  <si>
    <t>Token Accuracy (%)</t>
  </si>
  <si>
    <t>Accuracy Increased</t>
  </si>
  <si>
    <t>True Perplexity (e^L)</t>
  </si>
  <si>
    <t>-35.67 PPL Drop (Substantial Incorporation)</t>
  </si>
  <si>
    <t>Algebra Baseline (Control)</t>
  </si>
  <si>
    <t>Preserved Representation</t>
  </si>
  <si>
    <t>Positive Transfer (+2.5%)</t>
  </si>
  <si>
    <t>Zero Catastrophic Forgetting</t>
  </si>
  <si>
    <t>Base Model PPL</t>
  </si>
  <si>
    <t>After CS14 LoRA PPL</t>
  </si>
  <si>
    <t>Quantum QA (CS14)</t>
  </si>
  <si>
    <t>Method / Configuration</t>
  </si>
  <si>
    <t>Single Passage (n=1; LoRA)</t>
  </si>
  <si>
    <t>Continued Pretraining (n=200; full-FT)</t>
  </si>
  <si>
    <t>Continued Pretraining (n=2067; full-FT)</t>
  </si>
  <si>
    <t>Key Architectural Role</t>
  </si>
  <si>
    <t>1. Base Model</t>
  </si>
  <si>
    <t>Zero-shot unadapted lower bound</t>
  </si>
  <si>
    <t>2. Train on Passage Only</t>
  </si>
  <si>
    <t>Raw causal LM loss without synthetic QA (+0.8% gain)</t>
  </si>
  <si>
    <t>3. Train on Passage + Synthetic</t>
  </si>
  <si>
    <t>Passage + self-generated implications (+7.0% gain)</t>
  </si>
  <si>
    <t>4. Train on Passage + Gemini 3.1 Pro Synthetic</t>
  </si>
  <si>
    <t>Passage + frontier deductive reasoning traces (+13.6% gain)</t>
  </si>
  <si>
    <t>5. SEAL (Adaptive Dual-SLM Pipeline)</t>
  </si>
  <si>
    <t>State-of-the-Art on n=1 LoRA via proximal inductive bias match</t>
  </si>
  <si>
    <t>Case Study Iteration</t>
  </si>
  <si>
    <t>Domain Ingested</t>
  </si>
  <si>
    <t>Algebra Perplexity</t>
  </si>
  <si>
    <t>Empathy Perplexity</t>
  </si>
  <si>
    <t>Catastrophic Forgetting Status</t>
  </si>
  <si>
    <t>CS1</t>
  </si>
  <si>
    <t>Unstructured Baseline</t>
  </si>
  <si>
    <t>Protected (Initial Anchor)</t>
  </si>
  <si>
    <t>CS2</t>
  </si>
  <si>
    <t>Basic Algebra</t>
  </si>
  <si>
    <t>Protected (Stable)</t>
  </si>
  <si>
    <t>CS3</t>
  </si>
  <si>
    <t>French &amp; German Shift</t>
  </si>
  <si>
    <t>Protected (+0.72 PPL)</t>
  </si>
  <si>
    <t>CS4</t>
  </si>
  <si>
    <t>History Fact Flooding</t>
  </si>
  <si>
    <t>Protected (Positive Transfer)</t>
  </si>
  <si>
    <t>CS5</t>
  </si>
  <si>
    <t>Creative Fiction</t>
  </si>
  <si>
    <t>CS6</t>
  </si>
  <si>
    <t>Conflicting False Math</t>
  </si>
  <si>
    <t>Protected (Syntactic Shielding)</t>
  </si>
  <si>
    <t>CS7</t>
  </si>
  <si>
    <t>Multi-Domain Barrage</t>
  </si>
  <si>
    <t>CS8</t>
  </si>
  <si>
    <t>Strict Assembly Code</t>
  </si>
  <si>
    <t>Protected (Mild Drift)</t>
  </si>
  <si>
    <t>CS9</t>
  </si>
  <si>
    <t>Poisoned Noise (LoRA Protected)</t>
  </si>
  <si>
    <t>Base Protected by Low-Rank Routing</t>
  </si>
  <si>
    <t>CS10</t>
  </si>
  <si>
    <t>Poisoned Noise (NO LoRA - Full FT)</t>
  </si>
  <si>
    <t>TOTAL PARAMETER COLLAPSE</t>
  </si>
  <si>
    <t>CS11</t>
  </si>
  <si>
    <t>50x Extreme Saturation</t>
  </si>
  <si>
    <t>Sub-linear Growth (Capacity Intact)</t>
  </si>
  <si>
    <t>CS13</t>
  </si>
  <si>
    <t>Semantic Decoupling</t>
  </si>
  <si>
    <t>Protected (Semantic Invariance)</t>
  </si>
  <si>
    <t>CS14</t>
  </si>
  <si>
    <t>Quantum Vacuum &amp; Entanglement</t>
  </si>
  <si>
    <t>Protected (Zero Cross-Domain Interference)</t>
  </si>
  <si>
    <t>Prompt ID</t>
  </si>
  <si>
    <t>Category</t>
  </si>
  <si>
    <t>Prompt Text</t>
  </si>
  <si>
    <t>Mean Entropy (bits)</t>
  </si>
  <si>
    <t>HES Top 20% (bits)</t>
  </si>
  <si>
    <t>Peak Entropy (bits)</t>
  </si>
  <si>
    <t>Peak Token</t>
  </si>
  <si>
    <t>Min Entropy (bits)</t>
  </si>
  <si>
    <t>Generated Excerpt</t>
  </si>
  <si>
    <t>Phase 2 Governance Action</t>
  </si>
  <si>
    <t>P01</t>
  </si>
  <si>
    <t>Regular / Common</t>
  </si>
  <si>
    <t>What is 2 + 2?</t>
  </si>
  <si>
    <t>'2'</t>
  </si>
  <si>
    <t>2 + 2 = 4.......</t>
  </si>
  <si>
    <t>Filtered Out / Rejected (HES &lt; 10.0)</t>
  </si>
  <si>
    <t>P02</t>
  </si>
  <si>
    <t>What is the capital of France?</t>
  </si>
  <si>
    <t>'The'</t>
  </si>
  <si>
    <t>The capital of France is Paris.......</t>
  </si>
  <si>
    <t>P03</t>
  </si>
  <si>
    <t>Write a python function that returns True.</t>
  </si>
  <si>
    <t>'even'</t>
  </si>
  <si>
    <t>def is_even(num):
    return num % 2 == 0......</t>
  </si>
  <si>
    <t>Trivial Syntax / Loop Detected</t>
  </si>
  <si>
    <t>P04</t>
  </si>
  <si>
    <t>What color is a ripe banana?</t>
  </si>
  <si>
    <t>' bright'</t>
  </si>
  <si>
    <t>A ripe banana is usually a bright yellow color.......</t>
  </si>
  <si>
    <t>P05</t>
  </si>
  <si>
    <t>Repeat the word 'hello' three times.</t>
  </si>
  <si>
    <t>'ell'</t>
  </si>
  <si>
    <t>Hellooo, Hellooo, Hellooo, Hellooo, Hellooo, Hellooo, Helloo...</t>
  </si>
  <si>
    <t>P06</t>
  </si>
  <si>
    <t>Niche / Theoretical</t>
  </si>
  <si>
    <t>Explain topological entanglement entropy in fractional quantum Hall states.</t>
  </si>
  <si>
    <t>' fascinating'</t>
  </si>
  <si>
    <t>Entropy in topological quantum systems is a fascinating topi...</t>
  </si>
  <si>
    <t>Promoted to Distillation (HES &gt;= 10.0)</t>
  </si>
  <si>
    <t>P07</t>
  </si>
  <si>
    <t>Derive Bogoliubov mode mixing coefficients in the Dynamical Casimir Effect.</t>
  </si>
  <si>
    <t>' Bog'</t>
  </si>
  <si>
    <t>Bogoliubov mode mixing coefficients in the Dynamical Casimir...</t>
  </si>
  <si>
    <t>P08</t>
  </si>
  <si>
    <t>How does non-Hermitian parity-time symmetry breaking alter exceptional points in open quantum systems?</t>
  </si>
  <si>
    <t>' symmetry'</t>
  </si>
  <si>
    <t>Non-Hermitian parity-time symmetry breaking in open quantum ...</t>
  </si>
  <si>
    <t>P09</t>
  </si>
  <si>
    <t>Analyze the epistemological tension between Bayesian confirmation theory and Goodman's grue paradox.</t>
  </si>
  <si>
    <t>' have'</t>
  </si>
  <si>
    <t>Bayesian confirmation theory and Goodman's grue paradox are ...</t>
  </si>
  <si>
    <t>P10</t>
  </si>
  <si>
    <t>Detail the biosynthetic pathway of daptomycin non-ribosomal peptide synthetase modules.</t>
  </si>
  <si>
    <t>' The'</t>
  </si>
  <si>
    <t>1. The biosynthetic pathway of daptomycin non-ribosomal pept...</t>
  </si>
  <si>
    <t>Phase 2 Governance Plane Reliability &amp; Empirical Synthesis</t>
  </si>
  <si>
    <t>Empirical &amp; Theoretical Analysis:
"Since after passage training in CS14, we decided to show the governance plane reliability.. our domain was now fixed to the passage and as expected only context relevant data activates the teacher distillation pipeline, while regular, common, or off-domain queries are reliably suppressed."
1. Domain Anchoring &amp; Representation Collapse on Regular Queries:
Following single-passage adaptation (CS14), the model's specialized low-rank update subspace (Delta W = B x A) is optimized to capture the specific informational geometry of the target passage. When queried with generic, deterministic prompts (e.g., 'What is 2 + 2?' or 'What is the capital of France?'), the pre-trained token distribution collapses onto deterministic high-frequency tokens (p_top -&gt; 1.0, H -&gt; 0 bits). Factual tokens such as ' France' (0.0132 bits) and ' Paris' (0.3619 bits) exhibit virtually zero uncertainty. Consequently, the High-Entropy Sum (HES) for standard factual queries clusters between 5.86 and 9.76 bits, failing the Phase 2 Governance threshold (tau_HES = 10.0 bits) and preventing wasteful computation.
2. Entropy Spikes on Context-Relevant &amp; High-Dimensional Prompts:
Conversely, when the model encounters niche, multi-faceted, or theoretical prompts requiring cross-concept synthesis (e.g., 'Derive Bogoliubov mode mixing coefficients in the Dynamical Casimir Effect' or 'Explain topological entanglement entropy in fractional quantum Hall states'), the next-token probability mass disperses broadly across specialized technical terminology. Peak token entropies spike up to 7.23 - 7.45 bits, and the top-20% High-Entropy Sum reaches 36.01 - 45.41 bits (&gt;4x higher than regular queries).
3. Theoretical Validation of the Dual-SLM Architecture:
This empirical divergence confirms the mathematical premise of the SEAL Dual-SLM framework: token entropy acts as an intrinsic, computationally lightweight epistemic gatekeeper. By thresholding on High-Entropy Sum, the student SLM autonomously distinguishes between settled knowledge (low entropy, handled locally) and frontier conceptual exploration (high entropy, promoted to Teacher distillation and LoRA adaptation) without requiring external discriminators.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</si>
</sst>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b/>
      <sz val="10"/>
      <color rgb="FF1F497D"/>
      <name val="Calibri"/>
    </font>
    <font>
      <b/>
      <sz val="10"/>
      <color rgb="FF9C0006"/>
      <name val="Calibri"/>
    </font>
    <font>
      <b/>
      <sz val="10"/>
      <color rgb="FFB25E00"/>
      <name val="Calibri"/>
    </font>
    <font>
      <b/>
      <sz val="10"/>
      <color rgb="FF276A3C"/>
      <name val="Calibri"/>
    </font>
    <font>
      <b/>
      <sz val="11"/>
      <color rgb="FF1F497D"/>
      <name val="Calibri"/>
    </font>
    <font>
      <sz val="9.5"/>
      <name val="Calibri"/>
    </font>
  </fonts>
  <fills count="7">
    <fill>
      <patternFill patternType="none"/>
    </fill>
    <fill>
      <patternFill patternType="gray125"/>
    </fill>
    <fill>
      <patternFill patternType="solid">
        <fgColor rgb="FF1F497D"/>
        <bgColor rgb="FF1F497D"/>
      </patternFill>
    </fill>
    <fill>
      <patternFill patternType="solid">
        <fgColor rgb="FFEBF1F5"/>
        <bgColor rgb="FFEBF1F5"/>
      </patternFill>
    </fill>
    <fill>
      <patternFill patternType="solid">
        <fgColor rgb="FFFFC7CE"/>
        <bgColor rgb="FFFFC7CE"/>
      </patternFill>
    </fill>
    <fill>
      <patternFill patternType="solid">
        <fgColor rgb="FFFFF2CC"/>
        <bgColor rgb="FFFFF2CC"/>
      </patternFill>
    </fill>
    <fill>
      <patternFill patternType="solid">
        <fgColor rgb="FFE2EFDA"/>
        <b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0" borderId="0" xfId="0" applyFont="1"/>
    <xf numFmtId="0" fontId="7" fillId="0" borderId="0" xfId="0" applyFont="1"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Training Loss Dynamics Across Case Studies (Start vs Final)</a:t>
            </a:r>
          </a:p>
        </c:rich>
      </c:tx>
      <c:overlay val="1"/>
    </c:title>
    <c:autoTitleDeleted val="0"/>
    <c:plotArea>
      <c:layout/>
      <c:barChart>
        <c:barDir val="col"/>
        <c:grouping val="clustered"/>
        <c:varyColors val="1"/>
        <c:ser>
          <c:idx val="0"/>
          <c:order val="0"/>
          <c:tx>
            <c:strRef>
              <c:f>Master_Training_Telemetry!$C$1</c:f>
              <c:strCache>
                <c:ptCount val="1"/>
                <c:pt idx="0">
                  <c:v>Start Loss</c:v>
                </c:pt>
              </c:strCache>
            </c:strRef>
          </c:tx>
          <c:spPr>
            <a:ln>
              <a:prstDash val="solid"/>
            </a:ln>
          </c:spPr>
          <c:invertIfNegative val="1"/>
          <c:cat>
            <c:strRef>
              <c:f>Master_Training_Telemetry!$A$2:$A$14</c:f>
              <c:strCache>
                <c:ptCount val="13"/>
                <c:pt idx="0">
                  <c:v>CS1 (Initial Baseline)</c:v>
                </c:pt>
                <c:pt idx="1">
                  <c:v>CS2 (Continuous Algebra)</c:v>
                </c:pt>
                <c:pt idx="2">
                  <c:v>CS3 (Multi-Lingual Shift)</c:v>
                </c:pt>
                <c:pt idx="3">
                  <c:v>CS4 (Fact Flooding)</c:v>
                </c:pt>
                <c:pt idx="4">
                  <c:v>CS5 (Creative Writing)</c:v>
                </c:pt>
                <c:pt idx="5">
                  <c:v>CS6 (Conflicting Logic)</c:v>
                </c:pt>
                <c:pt idx="6">
                  <c:v>CS7 (Multi-Domain Barrage)</c:v>
                </c:pt>
                <c:pt idx="7">
                  <c:v>CS8 (Strict Coding Logic)</c:v>
                </c:pt>
                <c:pt idx="8">
                  <c:v>CS9 (Governance Inversion)</c:v>
                </c:pt>
                <c:pt idx="9">
                  <c:v>CS10 (No-LoRA Collapse)</c:v>
                </c:pt>
                <c:pt idx="10">
                  <c:v>CS11 (Extreme Saturation)</c:v>
                </c:pt>
                <c:pt idx="11">
                  <c:v>CS13 (Semantic Decoupling)</c:v>
                </c:pt>
                <c:pt idx="12">
                  <c:v>CS14 (Quantum Knowledge)</c:v>
                </c:pt>
              </c:strCache>
            </c:strRef>
          </c:cat>
          <c:val>
            <c:numRef>
              <c:f>Master_Training_Telemetry!$C$2:$C$14</c:f>
              <c:numCache>
                <c:formatCode>General</c:formatCode>
                <c:ptCount val="13"/>
                <c:pt idx="0">
                  <c:v>1.5185999999999999</c:v>
                </c:pt>
                <c:pt idx="1">
                  <c:v>1.2616000000000001</c:v>
                </c:pt>
                <c:pt idx="2">
                  <c:v>3.1579999999999999</c:v>
                </c:pt>
                <c:pt idx="3">
                  <c:v>1.4849000000000001</c:v>
                </c:pt>
                <c:pt idx="4">
                  <c:v>1.8980999999999999</c:v>
                </c:pt>
                <c:pt idx="5">
                  <c:v>1.5934999999999999</c:v>
                </c:pt>
                <c:pt idx="6">
                  <c:v>1.4393</c:v>
                </c:pt>
                <c:pt idx="7">
                  <c:v>1.2949999999999999</c:v>
                </c:pt>
                <c:pt idx="8">
                  <c:v>5.5458999999999996</c:v>
                </c:pt>
                <c:pt idx="9">
                  <c:v>6.6144999999999996</c:v>
                </c:pt>
                <c:pt idx="10">
                  <c:v>1.6972</c:v>
                </c:pt>
                <c:pt idx="11">
                  <c:v>1.8142</c:v>
                </c:pt>
                <c:pt idx="12">
                  <c:v>5.5256999999999996</c:v>
                </c:pt>
              </c:numCache>
            </c:numRef>
          </c:val>
          <c:extLst>
            <c:ext xmlns:c16="http://schemas.microsoft.com/office/drawing/2014/chart" uri="{C3380CC4-5D6E-409C-BE32-E72D297353CC}">
              <c16:uniqueId val="{00000000-007D-4D87-9A88-0CDAF7EE48CC}"/>
            </c:ext>
          </c:extLst>
        </c:ser>
        <c:ser>
          <c:idx val="1"/>
          <c:order val="1"/>
          <c:tx>
            <c:strRef>
              <c:f>Master_Training_Telemetry!$D$1</c:f>
              <c:strCache>
                <c:ptCount val="1"/>
                <c:pt idx="0">
                  <c:v>Final Loss</c:v>
                </c:pt>
              </c:strCache>
            </c:strRef>
          </c:tx>
          <c:spPr>
            <a:ln>
              <a:prstDash val="solid"/>
            </a:ln>
          </c:spPr>
          <c:invertIfNegative val="1"/>
          <c:cat>
            <c:strRef>
              <c:f>Master_Training_Telemetry!$A$2:$A$14</c:f>
              <c:strCache>
                <c:ptCount val="13"/>
                <c:pt idx="0">
                  <c:v>CS1 (Initial Baseline)</c:v>
                </c:pt>
                <c:pt idx="1">
                  <c:v>CS2 (Continuous Algebra)</c:v>
                </c:pt>
                <c:pt idx="2">
                  <c:v>CS3 (Multi-Lingual Shift)</c:v>
                </c:pt>
                <c:pt idx="3">
                  <c:v>CS4 (Fact Flooding)</c:v>
                </c:pt>
                <c:pt idx="4">
                  <c:v>CS5 (Creative Writing)</c:v>
                </c:pt>
                <c:pt idx="5">
                  <c:v>CS6 (Conflicting Logic)</c:v>
                </c:pt>
                <c:pt idx="6">
                  <c:v>CS7 (Multi-Domain Barrage)</c:v>
                </c:pt>
                <c:pt idx="7">
                  <c:v>CS8 (Strict Coding Logic)</c:v>
                </c:pt>
                <c:pt idx="8">
                  <c:v>CS9 (Governance Inversion)</c:v>
                </c:pt>
                <c:pt idx="9">
                  <c:v>CS10 (No-LoRA Collapse)</c:v>
                </c:pt>
                <c:pt idx="10">
                  <c:v>CS11 (Extreme Saturation)</c:v>
                </c:pt>
                <c:pt idx="11">
                  <c:v>CS13 (Semantic Decoupling)</c:v>
                </c:pt>
                <c:pt idx="12">
                  <c:v>CS14 (Quantum Knowledge)</c:v>
                </c:pt>
              </c:strCache>
            </c:strRef>
          </c:cat>
          <c:val>
            <c:numRef>
              <c:f>Master_Training_Telemetry!$D$2:$D$14</c:f>
              <c:numCache>
                <c:formatCode>General</c:formatCode>
                <c:ptCount val="13"/>
                <c:pt idx="0">
                  <c:v>1.06</c:v>
                </c:pt>
                <c:pt idx="1">
                  <c:v>0.95269999999999999</c:v>
                </c:pt>
                <c:pt idx="2">
                  <c:v>2.2820999999999998</c:v>
                </c:pt>
                <c:pt idx="3">
                  <c:v>1.1536999999999999</c:v>
                </c:pt>
                <c:pt idx="4">
                  <c:v>1.6061000000000001</c:v>
                </c:pt>
                <c:pt idx="5">
                  <c:v>1.171</c:v>
                </c:pt>
                <c:pt idx="6">
                  <c:v>1.2168000000000001</c:v>
                </c:pt>
                <c:pt idx="7">
                  <c:v>0.89410000000000001</c:v>
                </c:pt>
                <c:pt idx="8">
                  <c:v>3.2542</c:v>
                </c:pt>
                <c:pt idx="9">
                  <c:v>23.7013</c:v>
                </c:pt>
                <c:pt idx="10">
                  <c:v>1.1747000000000001</c:v>
                </c:pt>
                <c:pt idx="11">
                  <c:v>1.4866999999999999</c:v>
                </c:pt>
                <c:pt idx="12">
                  <c:v>5.3528000000000002</c:v>
                </c:pt>
              </c:numCache>
            </c:numRef>
          </c:val>
          <c:extLst>
            <c:ext xmlns:c16="http://schemas.microsoft.com/office/drawing/2014/chart" uri="{C3380CC4-5D6E-409C-BE32-E72D297353CC}">
              <c16:uniqueId val="{00000001-007D-4D87-9A88-0CDAF7EE48C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Case Study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Cross-Entropy Loss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t>CS14 Pre- vs Post-Adaptation Response Perplexity</a:t>
            </a:r>
          </a:p>
        </c:rich>
      </c:tx>
      <c:overlay val="1"/>
    </c:title>
    <c:autoTitleDeleted val="0"/>
    <c:plotArea>
      <c:layout/>
      <c:barChart>
        <c:barDir val="col"/>
        <c:grouping val="clustered"/>
        <c:varyColors val="1"/>
        <c:ser>
          <c:idx val="0"/>
          <c:order val="0"/>
          <c:tx>
            <c:strRef>
              <c:f>CS14_Physical_Audit!$B$10</c:f>
              <c:strCache>
                <c:ptCount val="1"/>
                <c:pt idx="0">
                  <c:v>Base Model PPL</c:v>
                </c:pt>
              </c:strCache>
            </c:strRef>
          </c:tx>
          <c:spPr>
            <a:ln>
              <a:prstDash val="solid"/>
            </a:ln>
          </c:spPr>
          <c:invertIfNegative val="1"/>
          <c:cat>
            <c:strRef>
              <c:f>CS14_Physical_Audit!$A$11:$A$12</c:f>
              <c:strCache>
                <c:ptCount val="2"/>
                <c:pt idx="0">
                  <c:v>Quantum QA (CS14)</c:v>
                </c:pt>
                <c:pt idx="1">
                  <c:v>Algebra Baseline (Control)</c:v>
                </c:pt>
              </c:strCache>
            </c:strRef>
          </c:cat>
          <c:val>
            <c:numRef>
              <c:f>CS14_Physical_Audit!$B$11:$B$12</c:f>
              <c:numCache>
                <c:formatCode>General</c:formatCode>
                <c:ptCount val="2"/>
                <c:pt idx="0">
                  <c:v>385.76</c:v>
                </c:pt>
                <c:pt idx="1">
                  <c:v>31.7</c:v>
                </c:pt>
              </c:numCache>
            </c:numRef>
          </c:val>
          <c:extLst>
            <c:ext xmlns:c16="http://schemas.microsoft.com/office/drawing/2014/chart" uri="{C3380CC4-5D6E-409C-BE32-E72D297353CC}">
              <c16:uniqueId val="{00000000-94F5-4C70-A677-DAF1AA2B21E6}"/>
            </c:ext>
          </c:extLst>
        </c:ser>
        <c:ser>
          <c:idx val="1"/>
          <c:order val="1"/>
          <c:tx>
            <c:strRef>
              <c:f>CS14_Physical_Audit!$C$10</c:f>
              <c:strCache>
                <c:ptCount val="1"/>
                <c:pt idx="0">
                  <c:v>After CS14 LoRA PPL</c:v>
                </c:pt>
              </c:strCache>
            </c:strRef>
          </c:tx>
          <c:spPr>
            <a:ln>
              <a:prstDash val="solid"/>
            </a:ln>
          </c:spPr>
          <c:invertIfNegative val="1"/>
          <c:cat>
            <c:strRef>
              <c:f>CS14_Physical_Audit!$A$11:$A$12</c:f>
              <c:strCache>
                <c:ptCount val="2"/>
                <c:pt idx="0">
                  <c:v>Quantum QA (CS14)</c:v>
                </c:pt>
                <c:pt idx="1">
                  <c:v>Algebra Baseline (Control)</c:v>
                </c:pt>
              </c:strCache>
            </c:strRef>
          </c:cat>
          <c:val>
            <c:numRef>
              <c:f>CS14_Physical_Audit!$C$11:$C$12</c:f>
              <c:numCache>
                <c:formatCode>General</c:formatCode>
                <c:ptCount val="2"/>
                <c:pt idx="0">
                  <c:v>350.1</c:v>
                </c:pt>
                <c:pt idx="1">
                  <c:v>30.15</c:v>
                </c:pt>
              </c:numCache>
            </c:numRef>
          </c:val>
          <c:extLst>
            <c:ext xmlns:c16="http://schemas.microsoft.com/office/drawing/2014/chart" uri="{C3380CC4-5D6E-409C-BE32-E72D297353CC}">
              <c16:uniqueId val="{00000001-94F5-4C70-A677-DAF1AA2B21E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Evaluated Test Suite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Perplexity (Lower is Better)</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2"/>
  <c:chart>
    <c:title>
      <c:tx>
        <c:rich>
          <a:bodyPr/>
          <a:lstStyle/>
          <a:p>
            <a:pPr>
              <a:defRPr/>
            </a:pPr>
            <a:r>
              <a:t>Knowledge Incorporation Accuracy Across Passage Regimes (%)</a:t>
            </a:r>
          </a:p>
        </c:rich>
      </c:tx>
      <c:overlay val="1"/>
    </c:title>
    <c:autoTitleDeleted val="0"/>
    <c:plotArea>
      <c:layout/>
      <c:barChart>
        <c:barDir val="col"/>
        <c:grouping val="clustered"/>
        <c:varyColors val="1"/>
        <c:ser>
          <c:idx val="0"/>
          <c:order val="0"/>
          <c:tx>
            <c:strRef>
              <c:f>Knowledge_Incorporation_Bench!$B$1</c:f>
              <c:strCache>
                <c:ptCount val="1"/>
                <c:pt idx="0">
                  <c:v>Single Passage (n=1; LoRA)</c:v>
                </c:pt>
              </c:strCache>
            </c:strRef>
          </c:tx>
          <c:spPr>
            <a:ln>
              <a:prstDash val="solid"/>
            </a:ln>
          </c:spPr>
          <c:invertIfNegative val="1"/>
          <c:cat>
            <c:strRef>
              <c:f>Knowledge_Incorporation_Bench!$A$2:$A$6</c:f>
              <c:strCache>
                <c:ptCount val="5"/>
                <c:pt idx="0">
                  <c:v>1. Base Model</c:v>
                </c:pt>
                <c:pt idx="1">
                  <c:v>2. Train on Passage Only</c:v>
                </c:pt>
                <c:pt idx="2">
                  <c:v>3. Train on Passage + Synthetic</c:v>
                </c:pt>
                <c:pt idx="3">
                  <c:v>4. Train on Passage + Gemini 3.1 Pro Synthetic</c:v>
                </c:pt>
                <c:pt idx="4">
                  <c:v>5. SEAL (Adaptive Dual-SLM Pipeline)</c:v>
                </c:pt>
              </c:strCache>
            </c:strRef>
          </c:cat>
          <c:val>
            <c:numRef>
              <c:f>Knowledge_Incorporation_Bench!$B$2:$B$6</c:f>
              <c:numCache>
                <c:formatCode>General</c:formatCode>
                <c:ptCount val="5"/>
                <c:pt idx="0">
                  <c:v>32.700000000000003</c:v>
                </c:pt>
                <c:pt idx="1">
                  <c:v>33.5</c:v>
                </c:pt>
                <c:pt idx="2">
                  <c:v>39.700000000000003</c:v>
                </c:pt>
                <c:pt idx="3">
                  <c:v>46.3</c:v>
                </c:pt>
                <c:pt idx="4">
                  <c:v>47</c:v>
                </c:pt>
              </c:numCache>
            </c:numRef>
          </c:val>
          <c:extLst>
            <c:ext xmlns:c16="http://schemas.microsoft.com/office/drawing/2014/chart" uri="{C3380CC4-5D6E-409C-BE32-E72D297353CC}">
              <c16:uniqueId val="{00000000-9F5E-4503-8398-14FC83D20F66}"/>
            </c:ext>
          </c:extLst>
        </c:ser>
        <c:ser>
          <c:idx val="1"/>
          <c:order val="1"/>
          <c:tx>
            <c:strRef>
              <c:f>Knowledge_Incorporation_Bench!$C$1</c:f>
              <c:strCache>
                <c:ptCount val="1"/>
                <c:pt idx="0">
                  <c:v>Continued Pretraining (n=200; full-FT)</c:v>
                </c:pt>
              </c:strCache>
            </c:strRef>
          </c:tx>
          <c:spPr>
            <a:ln>
              <a:prstDash val="solid"/>
            </a:ln>
          </c:spPr>
          <c:invertIfNegative val="1"/>
          <c:cat>
            <c:strRef>
              <c:f>Knowledge_Incorporation_Bench!$A$2:$A$6</c:f>
              <c:strCache>
                <c:ptCount val="5"/>
                <c:pt idx="0">
                  <c:v>1. Base Model</c:v>
                </c:pt>
                <c:pt idx="1">
                  <c:v>2. Train on Passage Only</c:v>
                </c:pt>
                <c:pt idx="2">
                  <c:v>3. Train on Passage + Synthetic</c:v>
                </c:pt>
                <c:pt idx="3">
                  <c:v>4. Train on Passage + Gemini 3.1 Pro Synthetic</c:v>
                </c:pt>
                <c:pt idx="4">
                  <c:v>5. SEAL (Adaptive Dual-SLM Pipeline)</c:v>
                </c:pt>
              </c:strCache>
            </c:strRef>
          </c:cat>
          <c:val>
            <c:numRef>
              <c:f>Knowledge_Incorporation_Bench!$C$2:$C$6</c:f>
              <c:numCache>
                <c:formatCode>General</c:formatCode>
                <c:ptCount val="5"/>
                <c:pt idx="0">
                  <c:v>32.700000000000003</c:v>
                </c:pt>
                <c:pt idx="1">
                  <c:v>36</c:v>
                </c:pt>
                <c:pt idx="2">
                  <c:v>50.6</c:v>
                </c:pt>
                <c:pt idx="3">
                  <c:v>59.4</c:v>
                </c:pt>
                <c:pt idx="4">
                  <c:v>58.2</c:v>
                </c:pt>
              </c:numCache>
            </c:numRef>
          </c:val>
          <c:extLst>
            <c:ext xmlns:c16="http://schemas.microsoft.com/office/drawing/2014/chart" uri="{C3380CC4-5D6E-409C-BE32-E72D297353CC}">
              <c16:uniqueId val="{00000001-9F5E-4503-8398-14FC83D20F66}"/>
            </c:ext>
          </c:extLst>
        </c:ser>
        <c:ser>
          <c:idx val="2"/>
          <c:order val="2"/>
          <c:tx>
            <c:strRef>
              <c:f>Knowledge_Incorporation_Bench!$D$1</c:f>
              <c:strCache>
                <c:ptCount val="1"/>
                <c:pt idx="0">
                  <c:v>Continued Pretraining (n=2067; full-FT)</c:v>
                </c:pt>
              </c:strCache>
            </c:strRef>
          </c:tx>
          <c:spPr>
            <a:ln>
              <a:prstDash val="solid"/>
            </a:ln>
          </c:spPr>
          <c:invertIfNegative val="1"/>
          <c:cat>
            <c:strRef>
              <c:f>Knowledge_Incorporation_Bench!$A$2:$A$6</c:f>
              <c:strCache>
                <c:ptCount val="5"/>
                <c:pt idx="0">
                  <c:v>1. Base Model</c:v>
                </c:pt>
                <c:pt idx="1">
                  <c:v>2. Train on Passage Only</c:v>
                </c:pt>
                <c:pt idx="2">
                  <c:v>3. Train on Passage + Synthetic</c:v>
                </c:pt>
                <c:pt idx="3">
                  <c:v>4. Train on Passage + Gemini 3.1 Pro Synthetic</c:v>
                </c:pt>
                <c:pt idx="4">
                  <c:v>5. SEAL (Adaptive Dual-SLM Pipeline)</c:v>
                </c:pt>
              </c:strCache>
            </c:strRef>
          </c:cat>
          <c:val>
            <c:numRef>
              <c:f>Knowledge_Incorporation_Bench!$D$2:$D$6</c:f>
              <c:numCache>
                <c:formatCode>General</c:formatCode>
                <c:ptCount val="5"/>
                <c:pt idx="0">
                  <c:v>29</c:v>
                </c:pt>
                <c:pt idx="1">
                  <c:v>31.2</c:v>
                </c:pt>
                <c:pt idx="2">
                  <c:v>43.4</c:v>
                </c:pt>
                <c:pt idx="3">
                  <c:v>49.2</c:v>
                </c:pt>
                <c:pt idx="4">
                  <c:v>46.4</c:v>
                </c:pt>
              </c:numCache>
            </c:numRef>
          </c:val>
          <c:extLst>
            <c:ext xmlns:c16="http://schemas.microsoft.com/office/drawing/2014/chart" uri="{C3380CC4-5D6E-409C-BE32-E72D297353CC}">
              <c16:uniqueId val="{00000002-9F5E-4503-8398-14FC83D20F6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Method</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Downstream QA Accuracy (%)</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Governance Plane: High-Entropy Sum (HES) &amp; Mean Entropy by Prompt</a:t>
            </a:r>
          </a:p>
        </c:rich>
      </c:tx>
      <c:overlay val="1"/>
    </c:title>
    <c:autoTitleDeleted val="0"/>
    <c:plotArea>
      <c:layout/>
      <c:barChart>
        <c:barDir val="col"/>
        <c:grouping val="clustered"/>
        <c:varyColors val="1"/>
        <c:ser>
          <c:idx val="0"/>
          <c:order val="0"/>
          <c:tx>
            <c:strRef>
              <c:f>Governance_Entropy_Evaluation!$D$1</c:f>
              <c:strCache>
                <c:ptCount val="1"/>
                <c:pt idx="0">
                  <c:v>Mean Entropy (bits)</c:v>
                </c:pt>
              </c:strCache>
            </c:strRef>
          </c:tx>
          <c:spPr>
            <a:ln>
              <a:prstDash val="solid"/>
            </a:ln>
          </c:spPr>
          <c:invertIfNegative val="1"/>
          <c:cat>
            <c:strRef>
              <c:f>Governance_Entropy_Evaluation!$A$2:$A$11</c:f>
              <c:strCache>
                <c:ptCount val="10"/>
                <c:pt idx="0">
                  <c:v>P01</c:v>
                </c:pt>
                <c:pt idx="1">
                  <c:v>P02</c:v>
                </c:pt>
                <c:pt idx="2">
                  <c:v>P03</c:v>
                </c:pt>
                <c:pt idx="3">
                  <c:v>P04</c:v>
                </c:pt>
                <c:pt idx="4">
                  <c:v>P05</c:v>
                </c:pt>
                <c:pt idx="5">
                  <c:v>P06</c:v>
                </c:pt>
                <c:pt idx="6">
                  <c:v>P07</c:v>
                </c:pt>
                <c:pt idx="7">
                  <c:v>P08</c:v>
                </c:pt>
                <c:pt idx="8">
                  <c:v>P09</c:v>
                </c:pt>
                <c:pt idx="9">
                  <c:v>P10</c:v>
                </c:pt>
              </c:strCache>
            </c:strRef>
          </c:cat>
          <c:val>
            <c:numRef>
              <c:f>Governance_Entropy_Evaluation!$D$2:$D$11</c:f>
              <c:numCache>
                <c:formatCode>General</c:formatCode>
                <c:ptCount val="10"/>
                <c:pt idx="0">
                  <c:v>1.075</c:v>
                </c:pt>
                <c:pt idx="1">
                  <c:v>0.81299999999999994</c:v>
                </c:pt>
                <c:pt idx="2">
                  <c:v>1.3080000000000001</c:v>
                </c:pt>
                <c:pt idx="3">
                  <c:v>1.909</c:v>
                </c:pt>
                <c:pt idx="4">
                  <c:v>1.03</c:v>
                </c:pt>
                <c:pt idx="5">
                  <c:v>2.3239999999999998</c:v>
                </c:pt>
                <c:pt idx="6">
                  <c:v>2.1960000000000002</c:v>
                </c:pt>
                <c:pt idx="7">
                  <c:v>1.968</c:v>
                </c:pt>
                <c:pt idx="8">
                  <c:v>2.0179999999999998</c:v>
                </c:pt>
                <c:pt idx="9">
                  <c:v>2.0230000000000001</c:v>
                </c:pt>
              </c:numCache>
            </c:numRef>
          </c:val>
          <c:extLst>
            <c:ext xmlns:c16="http://schemas.microsoft.com/office/drawing/2014/chart" uri="{C3380CC4-5D6E-409C-BE32-E72D297353CC}">
              <c16:uniqueId val="{00000000-1B1F-4AE8-91E5-F5B028C25FCD}"/>
            </c:ext>
          </c:extLst>
        </c:ser>
        <c:ser>
          <c:idx val="1"/>
          <c:order val="1"/>
          <c:tx>
            <c:strRef>
              <c:f>Governance_Entropy_Evaluation!$E$1</c:f>
              <c:strCache>
                <c:ptCount val="1"/>
                <c:pt idx="0">
                  <c:v>HES Top 20% (bits)</c:v>
                </c:pt>
              </c:strCache>
            </c:strRef>
          </c:tx>
          <c:spPr>
            <a:ln>
              <a:prstDash val="solid"/>
            </a:ln>
          </c:spPr>
          <c:invertIfNegative val="1"/>
          <c:cat>
            <c:strRef>
              <c:f>Governance_Entropy_Evaluation!$A$2:$A$11</c:f>
              <c:strCache>
                <c:ptCount val="10"/>
                <c:pt idx="0">
                  <c:v>P01</c:v>
                </c:pt>
                <c:pt idx="1">
                  <c:v>P02</c:v>
                </c:pt>
                <c:pt idx="2">
                  <c:v>P03</c:v>
                </c:pt>
                <c:pt idx="3">
                  <c:v>P04</c:v>
                </c:pt>
                <c:pt idx="4">
                  <c:v>P05</c:v>
                </c:pt>
                <c:pt idx="5">
                  <c:v>P06</c:v>
                </c:pt>
                <c:pt idx="6">
                  <c:v>P07</c:v>
                </c:pt>
                <c:pt idx="7">
                  <c:v>P08</c:v>
                </c:pt>
                <c:pt idx="8">
                  <c:v>P09</c:v>
                </c:pt>
                <c:pt idx="9">
                  <c:v>P10</c:v>
                </c:pt>
              </c:strCache>
            </c:strRef>
          </c:cat>
          <c:val>
            <c:numRef>
              <c:f>Governance_Entropy_Evaluation!$E$2:$E$11</c:f>
              <c:numCache>
                <c:formatCode>General</c:formatCode>
                <c:ptCount val="10"/>
                <c:pt idx="0">
                  <c:v>6.02</c:v>
                </c:pt>
                <c:pt idx="1">
                  <c:v>5.86</c:v>
                </c:pt>
                <c:pt idx="2">
                  <c:v>15.94</c:v>
                </c:pt>
                <c:pt idx="3">
                  <c:v>9.76</c:v>
                </c:pt>
                <c:pt idx="4">
                  <c:v>29.64</c:v>
                </c:pt>
                <c:pt idx="5">
                  <c:v>37.74</c:v>
                </c:pt>
                <c:pt idx="6">
                  <c:v>45.41</c:v>
                </c:pt>
                <c:pt idx="7">
                  <c:v>41.32</c:v>
                </c:pt>
                <c:pt idx="8">
                  <c:v>36.01</c:v>
                </c:pt>
                <c:pt idx="9">
                  <c:v>40.090000000000003</c:v>
                </c:pt>
              </c:numCache>
            </c:numRef>
          </c:val>
          <c:extLst>
            <c:ext xmlns:c16="http://schemas.microsoft.com/office/drawing/2014/chart" uri="{C3380CC4-5D6E-409C-BE32-E72D297353CC}">
              <c16:uniqueId val="{00000001-1B1F-4AE8-91E5-F5B028C25FC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Evaluated Prompts</a:t>
                </a:r>
              </a:p>
            </c:rich>
          </c:tx>
          <c:layout>
            <c:manualLayout>
              <c:xMode val="edge"/>
              <c:yMode val="edge"/>
              <c:x val="0.42712486111111109"/>
              <c:y val="0.95123636363636366"/>
            </c:manualLayout>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Entropy (Bits)</a:t>
                </a:r>
              </a:p>
            </c:rich>
          </c:tx>
          <c:overlay val="1"/>
        </c:title>
        <c:numFmt formatCode="General" sourceLinked="1"/>
        <c:majorTickMark val="none"/>
        <c:minorTickMark val="none"/>
        <c:tickLblPos val="nextTo"/>
        <c:crossAx val="10"/>
        <c:crosses val="autoZero"/>
        <c:crossBetween val="between"/>
      </c:valAx>
    </c:plotArea>
    <c:legend>
      <c:legendPos val="r"/>
      <c:layout>
        <c:manualLayout>
          <c:xMode val="edge"/>
          <c:yMode val="edge"/>
          <c:x val="7.9294305555555514E-2"/>
          <c:y val="0.16299166666666667"/>
          <c:w val="0.17281680555555556"/>
          <c:h val="0.11598636363636364"/>
        </c:manualLayout>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13</xdr:col>
      <xdr:colOff>0</xdr:colOff>
      <xdr:row>1</xdr:row>
      <xdr:rowOff>0</xdr:rowOff>
    </xdr:from>
    <xdr:ext cx="6480000" cy="36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1</xdr:row>
      <xdr:rowOff>0</xdr:rowOff>
    </xdr:from>
    <xdr:ext cx="5760000" cy="36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6</xdr:col>
      <xdr:colOff>0</xdr:colOff>
      <xdr:row>1</xdr:row>
      <xdr:rowOff>0</xdr:rowOff>
    </xdr:from>
    <xdr:ext cx="6480000" cy="36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11</xdr:col>
      <xdr:colOff>0</xdr:colOff>
      <xdr:row>1</xdr:row>
      <xdr:rowOff>0</xdr:rowOff>
    </xdr:from>
    <xdr:ext cx="7200000" cy="396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workbookViewId="0"/>
  </sheetViews>
  <sheetFormatPr defaultRowHeight="14.4" x14ac:dyDescent="0.3"/>
  <cols>
    <col min="1" max="1" width="30" customWidth="1"/>
    <col min="2" max="2" width="12" customWidth="1"/>
    <col min="3" max="4" width="14" customWidth="1"/>
    <col min="5" max="6" width="23" customWidth="1"/>
    <col min="7" max="8" width="19" customWidth="1"/>
    <col min="9" max="9" width="24" customWidth="1"/>
    <col min="10" max="12" width="20"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2">
        <v>15</v>
      </c>
      <c r="C2" s="2">
        <v>1.5185999999999999</v>
      </c>
      <c r="D2" s="2">
        <v>1.06</v>
      </c>
      <c r="E2" s="2">
        <v>68.13</v>
      </c>
      <c r="F2" s="2">
        <v>80.22</v>
      </c>
      <c r="G2" s="2">
        <v>5.25</v>
      </c>
      <c r="H2" s="2">
        <v>1.34</v>
      </c>
      <c r="I2" s="2">
        <v>1.25</v>
      </c>
      <c r="J2" s="2">
        <v>883000000000</v>
      </c>
      <c r="K2" s="2">
        <v>5.4192</v>
      </c>
      <c r="L2" s="2">
        <v>9.9014000000000006</v>
      </c>
    </row>
    <row r="3" spans="1:12" x14ac:dyDescent="0.3">
      <c r="A3" s="3" t="s">
        <v>13</v>
      </c>
      <c r="B3" s="3">
        <v>15</v>
      </c>
      <c r="C3" s="3">
        <v>1.2616000000000001</v>
      </c>
      <c r="D3" s="3">
        <v>0.95269999999999999</v>
      </c>
      <c r="E3" s="3">
        <v>76.84</v>
      </c>
      <c r="F3" s="3">
        <v>80.430000000000007</v>
      </c>
      <c r="G3" s="3">
        <v>1.88</v>
      </c>
      <c r="H3" s="3">
        <v>0.97</v>
      </c>
      <c r="I3" s="3">
        <v>0.94</v>
      </c>
      <c r="J3" s="3">
        <v>2350000000000</v>
      </c>
      <c r="K3" s="3">
        <v>5.4321999999999999</v>
      </c>
      <c r="L3" s="3">
        <v>10.022600000000001</v>
      </c>
    </row>
    <row r="4" spans="1:12" x14ac:dyDescent="0.3">
      <c r="A4" s="2" t="s">
        <v>14</v>
      </c>
      <c r="B4" s="2">
        <v>15</v>
      </c>
      <c r="C4" s="2">
        <v>3.1579999999999999</v>
      </c>
      <c r="D4" s="2">
        <v>2.2820999999999998</v>
      </c>
      <c r="E4" s="2">
        <v>41.27</v>
      </c>
      <c r="F4" s="2">
        <v>53.97</v>
      </c>
      <c r="G4" s="2">
        <v>15.31</v>
      </c>
      <c r="H4" s="2">
        <v>2.84</v>
      </c>
      <c r="I4" s="2">
        <v>2.77</v>
      </c>
      <c r="J4" s="2">
        <v>614000000000</v>
      </c>
      <c r="K4" s="2">
        <v>6.1543999999999999</v>
      </c>
      <c r="L4" s="2">
        <v>9.0228999999999999</v>
      </c>
    </row>
    <row r="5" spans="1:12" x14ac:dyDescent="0.3">
      <c r="A5" s="3" t="s">
        <v>15</v>
      </c>
      <c r="B5" s="3">
        <v>15</v>
      </c>
      <c r="C5" s="3">
        <v>1.4849000000000001</v>
      </c>
      <c r="D5" s="3">
        <v>1.1536999999999999</v>
      </c>
      <c r="E5" s="3">
        <v>70.97</v>
      </c>
      <c r="F5" s="3">
        <v>73.56</v>
      </c>
      <c r="G5" s="3">
        <v>2.34</v>
      </c>
      <c r="H5" s="3">
        <v>1.06</v>
      </c>
      <c r="I5" s="3">
        <v>1.38</v>
      </c>
      <c r="J5" s="3">
        <v>2070000000000</v>
      </c>
      <c r="K5" s="3">
        <v>5.2351000000000001</v>
      </c>
      <c r="L5" s="3">
        <v>9.1416000000000004</v>
      </c>
    </row>
    <row r="6" spans="1:12" x14ac:dyDescent="0.3">
      <c r="A6" s="2" t="s">
        <v>16</v>
      </c>
      <c r="B6" s="2">
        <v>15</v>
      </c>
      <c r="C6" s="2">
        <v>1.8980999999999999</v>
      </c>
      <c r="D6" s="2">
        <v>1.6061000000000001</v>
      </c>
      <c r="E6" s="2">
        <v>60.69</v>
      </c>
      <c r="F6" s="2">
        <v>65.599999999999994</v>
      </c>
      <c r="G6" s="2">
        <v>2.13</v>
      </c>
      <c r="H6" s="2">
        <v>0.8</v>
      </c>
      <c r="I6" s="2">
        <v>1.71</v>
      </c>
      <c r="J6" s="2">
        <v>2760000000000</v>
      </c>
      <c r="K6" s="2">
        <v>5.6215999999999999</v>
      </c>
      <c r="L6" s="2">
        <v>9.5145999999999997</v>
      </c>
    </row>
    <row r="7" spans="1:12" x14ac:dyDescent="0.3">
      <c r="A7" s="3" t="s">
        <v>17</v>
      </c>
      <c r="B7" s="3">
        <v>15</v>
      </c>
      <c r="C7" s="3">
        <v>1.5934999999999999</v>
      </c>
      <c r="D7" s="3">
        <v>1.171</v>
      </c>
      <c r="E7" s="3">
        <v>68.989999999999995</v>
      </c>
      <c r="F7" s="3">
        <v>75.97</v>
      </c>
      <c r="G7" s="3">
        <v>4.16</v>
      </c>
      <c r="H7" s="3">
        <v>1.36</v>
      </c>
      <c r="I7" s="3">
        <v>1.3</v>
      </c>
      <c r="J7" s="3">
        <v>1250000000000</v>
      </c>
      <c r="K7" s="3">
        <v>5.2766000000000002</v>
      </c>
      <c r="L7" s="3">
        <v>9.0061999999999998</v>
      </c>
    </row>
    <row r="8" spans="1:12" x14ac:dyDescent="0.3">
      <c r="A8" s="2" t="s">
        <v>18</v>
      </c>
      <c r="B8" s="2">
        <v>15</v>
      </c>
      <c r="C8" s="2">
        <v>1.4393</v>
      </c>
      <c r="D8" s="2">
        <v>1.2168000000000001</v>
      </c>
      <c r="E8" s="2">
        <v>70.05</v>
      </c>
      <c r="F8" s="2">
        <v>75.47</v>
      </c>
      <c r="G8" s="2">
        <v>2.52</v>
      </c>
      <c r="H8" s="2">
        <v>0.64</v>
      </c>
      <c r="I8" s="2">
        <v>1.28</v>
      </c>
      <c r="J8" s="2">
        <v>4110000000000</v>
      </c>
      <c r="K8" s="2">
        <v>5.2949000000000002</v>
      </c>
      <c r="L8" s="2">
        <v>9.8366000000000007</v>
      </c>
    </row>
    <row r="9" spans="1:12" x14ac:dyDescent="0.3">
      <c r="A9" s="3" t="s">
        <v>19</v>
      </c>
      <c r="B9" s="3">
        <v>15</v>
      </c>
      <c r="C9" s="3">
        <v>1.2949999999999999</v>
      </c>
      <c r="D9" s="3">
        <v>0.89410000000000001</v>
      </c>
      <c r="E9" s="3">
        <v>76.53</v>
      </c>
      <c r="F9" s="3">
        <v>83.3</v>
      </c>
      <c r="G9" s="3">
        <v>3.08</v>
      </c>
      <c r="H9" s="3">
        <v>1.0900000000000001</v>
      </c>
      <c r="I9" s="3">
        <v>1.05</v>
      </c>
      <c r="J9" s="3">
        <v>2720000000000</v>
      </c>
      <c r="K9" s="3">
        <v>5.7789999999999999</v>
      </c>
      <c r="L9" s="3">
        <v>11.5275</v>
      </c>
    </row>
    <row r="10" spans="1:12" x14ac:dyDescent="0.3">
      <c r="A10" s="2" t="s">
        <v>20</v>
      </c>
      <c r="B10" s="2">
        <v>15</v>
      </c>
      <c r="C10" s="2">
        <v>5.5458999999999996</v>
      </c>
      <c r="D10" s="2">
        <v>3.2542</v>
      </c>
      <c r="E10" s="2">
        <v>35.07</v>
      </c>
      <c r="F10" s="2">
        <v>58.68</v>
      </c>
      <c r="G10" s="2">
        <v>49</v>
      </c>
      <c r="H10" s="2">
        <v>9.5</v>
      </c>
      <c r="I10" s="2">
        <v>2.99</v>
      </c>
      <c r="J10" s="2">
        <v>346000000000</v>
      </c>
      <c r="K10" s="2">
        <v>7.3402000000000003</v>
      </c>
      <c r="L10" s="2">
        <v>13.180999999999999</v>
      </c>
    </row>
    <row r="11" spans="1:12" x14ac:dyDescent="0.3">
      <c r="A11" s="3" t="s">
        <v>21</v>
      </c>
      <c r="B11" s="3">
        <v>15</v>
      </c>
      <c r="C11" s="3">
        <v>6.6144999999999996</v>
      </c>
      <c r="D11" s="3">
        <v>23.7013</v>
      </c>
      <c r="E11" s="3">
        <v>37.74</v>
      </c>
      <c r="F11" s="3">
        <v>16.93</v>
      </c>
      <c r="G11" s="3">
        <v>44.34</v>
      </c>
      <c r="H11" s="3">
        <v>46.53</v>
      </c>
      <c r="I11" s="3">
        <v>0.01</v>
      </c>
      <c r="J11" s="3">
        <v>707000000000</v>
      </c>
      <c r="K11" s="3">
        <v>1E+20</v>
      </c>
      <c r="L11" s="3">
        <v>1E+20</v>
      </c>
    </row>
    <row r="12" spans="1:12" x14ac:dyDescent="0.3">
      <c r="A12" s="2" t="s">
        <v>22</v>
      </c>
      <c r="B12" s="2">
        <v>37</v>
      </c>
      <c r="C12" s="2">
        <v>1.6972</v>
      </c>
      <c r="D12" s="2">
        <v>1.1747000000000001</v>
      </c>
      <c r="E12" s="2">
        <v>64.61</v>
      </c>
      <c r="F12" s="2">
        <v>72.73</v>
      </c>
      <c r="G12" s="2">
        <v>7.5</v>
      </c>
      <c r="H12" s="2">
        <v>1.05</v>
      </c>
      <c r="I12" s="2">
        <v>1.31</v>
      </c>
      <c r="J12" s="2">
        <v>13600000000000</v>
      </c>
      <c r="K12" s="2">
        <v>12.14</v>
      </c>
      <c r="L12" s="2">
        <v>17.940000000000001</v>
      </c>
    </row>
    <row r="13" spans="1:12" x14ac:dyDescent="0.3">
      <c r="A13" s="3" t="s">
        <v>23</v>
      </c>
      <c r="B13" s="3">
        <v>15</v>
      </c>
      <c r="C13" s="3">
        <v>1.8142</v>
      </c>
      <c r="D13" s="3">
        <v>1.4866999999999999</v>
      </c>
      <c r="E13" s="3">
        <v>62.8</v>
      </c>
      <c r="F13" s="3">
        <v>66.930000000000007</v>
      </c>
      <c r="G13" s="3">
        <v>8.06</v>
      </c>
      <c r="H13" s="3">
        <v>0.79</v>
      </c>
      <c r="I13" s="3">
        <v>1.48</v>
      </c>
      <c r="J13" s="3">
        <v>5520000000000</v>
      </c>
      <c r="K13" s="3">
        <v>6.1082000000000001</v>
      </c>
      <c r="L13" s="3">
        <v>9.1228999999999996</v>
      </c>
    </row>
    <row r="14" spans="1:12" x14ac:dyDescent="0.3">
      <c r="A14" s="2" t="s">
        <v>24</v>
      </c>
      <c r="B14" s="2">
        <v>15</v>
      </c>
      <c r="C14" s="2">
        <v>5.5256999999999996</v>
      </c>
      <c r="D14" s="2">
        <v>5.3528000000000002</v>
      </c>
      <c r="E14" s="2">
        <v>31.34</v>
      </c>
      <c r="F14" s="2">
        <v>34.880000000000003</v>
      </c>
      <c r="G14" s="2">
        <v>0.7</v>
      </c>
      <c r="H14" s="2">
        <v>0.74</v>
      </c>
      <c r="I14" s="2">
        <v>3.79</v>
      </c>
      <c r="J14" s="2">
        <v>737000000000</v>
      </c>
      <c r="K14" s="2">
        <v>30.152000000000001</v>
      </c>
      <c r="L14" s="2">
        <v>350.09649999999999</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workbookViewId="0"/>
  </sheetViews>
  <sheetFormatPr defaultRowHeight="14.4" x14ac:dyDescent="0.3"/>
  <cols>
    <col min="1" max="1" width="30" customWidth="1"/>
    <col min="2" max="2" width="26" customWidth="1"/>
    <col min="3" max="4" width="31" customWidth="1"/>
    <col min="5" max="5" width="18" customWidth="1"/>
    <col min="6" max="6" width="47" customWidth="1"/>
  </cols>
  <sheetData>
    <row r="1" spans="1:6" x14ac:dyDescent="0.3">
      <c r="A1" s="1" t="s">
        <v>25</v>
      </c>
      <c r="B1" s="1" t="s">
        <v>26</v>
      </c>
      <c r="C1" s="1" t="s">
        <v>27</v>
      </c>
      <c r="D1" s="1" t="s">
        <v>28</v>
      </c>
      <c r="E1" s="1" t="s">
        <v>29</v>
      </c>
      <c r="F1" s="1" t="s">
        <v>30</v>
      </c>
    </row>
    <row r="2" spans="1:6" x14ac:dyDescent="0.3">
      <c r="A2" s="2" t="s">
        <v>31</v>
      </c>
      <c r="B2" s="2" t="s">
        <v>32</v>
      </c>
      <c r="C2" s="2">
        <v>5.9551999999999996</v>
      </c>
      <c r="D2" s="2">
        <v>5.8582000000000001</v>
      </c>
      <c r="E2" s="2">
        <v>-9.7000000000000003E-2</v>
      </c>
      <c r="F2" s="2" t="s">
        <v>33</v>
      </c>
    </row>
    <row r="3" spans="1:6" x14ac:dyDescent="0.3">
      <c r="A3" s="3" t="s">
        <v>31</v>
      </c>
      <c r="B3" s="3" t="s">
        <v>34</v>
      </c>
      <c r="C3" s="3">
        <v>30.6</v>
      </c>
      <c r="D3" s="3">
        <v>31.34</v>
      </c>
      <c r="E3" s="3">
        <v>0.74</v>
      </c>
      <c r="F3" s="3" t="s">
        <v>35</v>
      </c>
    </row>
    <row r="4" spans="1:6" x14ac:dyDescent="0.3">
      <c r="A4" s="2" t="s">
        <v>31</v>
      </c>
      <c r="B4" s="2" t="s">
        <v>36</v>
      </c>
      <c r="C4" s="2">
        <v>385.76330000000002</v>
      </c>
      <c r="D4" s="2">
        <v>350.09649999999999</v>
      </c>
      <c r="E4" s="2">
        <v>-35.666800000000002</v>
      </c>
      <c r="F4" s="2" t="s">
        <v>37</v>
      </c>
    </row>
    <row r="5" spans="1:6" x14ac:dyDescent="0.3">
      <c r="A5" s="3" t="s">
        <v>38</v>
      </c>
      <c r="B5" s="3" t="s">
        <v>32</v>
      </c>
      <c r="C5" s="3">
        <v>3.4561999999999999</v>
      </c>
      <c r="D5" s="3">
        <v>3.4062000000000001</v>
      </c>
      <c r="E5" s="3">
        <v>-0.05</v>
      </c>
      <c r="F5" s="3" t="s">
        <v>39</v>
      </c>
    </row>
    <row r="6" spans="1:6" x14ac:dyDescent="0.3">
      <c r="A6" s="2" t="s">
        <v>38</v>
      </c>
      <c r="B6" s="2" t="s">
        <v>34</v>
      </c>
      <c r="C6" s="2">
        <v>57.5</v>
      </c>
      <c r="D6" s="2">
        <v>60</v>
      </c>
      <c r="E6" s="2">
        <v>2.5</v>
      </c>
      <c r="F6" s="2" t="s">
        <v>40</v>
      </c>
    </row>
    <row r="7" spans="1:6" x14ac:dyDescent="0.3">
      <c r="A7" s="3" t="s">
        <v>38</v>
      </c>
      <c r="B7" s="3" t="s">
        <v>36</v>
      </c>
      <c r="C7" s="3">
        <v>31.697900000000001</v>
      </c>
      <c r="D7" s="3">
        <v>30.152000000000001</v>
      </c>
      <c r="E7" s="3">
        <v>-1.5459000000000001</v>
      </c>
      <c r="F7" s="3" t="s">
        <v>41</v>
      </c>
    </row>
    <row r="10" spans="1:6" x14ac:dyDescent="0.3">
      <c r="A10" s="1" t="s">
        <v>25</v>
      </c>
      <c r="B10" s="1" t="s">
        <v>42</v>
      </c>
      <c r="C10" s="1" t="s">
        <v>43</v>
      </c>
    </row>
    <row r="11" spans="1:6" x14ac:dyDescent="0.3">
      <c r="A11" s="3" t="s">
        <v>44</v>
      </c>
      <c r="B11" s="3">
        <v>385.76</v>
      </c>
      <c r="C11" s="3">
        <v>350.1</v>
      </c>
    </row>
    <row r="12" spans="1:6" x14ac:dyDescent="0.3">
      <c r="A12" s="2" t="s">
        <v>38</v>
      </c>
      <c r="B12" s="2">
        <v>31.7</v>
      </c>
      <c r="C12" s="2">
        <v>30.15</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heetViews>
  <sheetFormatPr defaultRowHeight="14.4" x14ac:dyDescent="0.3"/>
  <cols>
    <col min="1" max="1" width="50" customWidth="1"/>
    <col min="2" max="2" width="30" customWidth="1"/>
    <col min="3" max="3" width="42" customWidth="1"/>
    <col min="4" max="4" width="43" customWidth="1"/>
    <col min="5" max="5" width="35" customWidth="1"/>
  </cols>
  <sheetData>
    <row r="1" spans="1:5" x14ac:dyDescent="0.3">
      <c r="A1" s="1" t="s">
        <v>45</v>
      </c>
      <c r="B1" s="1" t="s">
        <v>46</v>
      </c>
      <c r="C1" s="1" t="s">
        <v>47</v>
      </c>
      <c r="D1" s="1" t="s">
        <v>48</v>
      </c>
      <c r="E1" s="1" t="s">
        <v>49</v>
      </c>
    </row>
    <row r="2" spans="1:5" x14ac:dyDescent="0.3">
      <c r="A2" s="2" t="s">
        <v>50</v>
      </c>
      <c r="B2" s="2">
        <v>32.700000000000003</v>
      </c>
      <c r="C2" s="2">
        <v>32.700000000000003</v>
      </c>
      <c r="D2" s="2">
        <v>29</v>
      </c>
      <c r="E2" s="2" t="s">
        <v>51</v>
      </c>
    </row>
    <row r="3" spans="1:5" x14ac:dyDescent="0.3">
      <c r="A3" s="3" t="s">
        <v>52</v>
      </c>
      <c r="B3" s="3">
        <v>33.5</v>
      </c>
      <c r="C3" s="3">
        <v>36</v>
      </c>
      <c r="D3" s="3">
        <v>31.2</v>
      </c>
      <c r="E3" s="3" t="s">
        <v>53</v>
      </c>
    </row>
    <row r="4" spans="1:5" x14ac:dyDescent="0.3">
      <c r="A4" s="2" t="s">
        <v>54</v>
      </c>
      <c r="B4" s="2">
        <v>39.700000000000003</v>
      </c>
      <c r="C4" s="2">
        <v>50.6</v>
      </c>
      <c r="D4" s="2">
        <v>43.4</v>
      </c>
      <c r="E4" s="2" t="s">
        <v>55</v>
      </c>
    </row>
    <row r="5" spans="1:5" x14ac:dyDescent="0.3">
      <c r="A5" s="3" t="s">
        <v>56</v>
      </c>
      <c r="B5" s="3">
        <v>46.3</v>
      </c>
      <c r="C5" s="3">
        <v>59.4</v>
      </c>
      <c r="D5" s="3">
        <v>49.2</v>
      </c>
      <c r="E5" s="3" t="s">
        <v>57</v>
      </c>
    </row>
    <row r="6" spans="1:5" x14ac:dyDescent="0.3">
      <c r="A6" s="4" t="s">
        <v>58</v>
      </c>
      <c r="B6" s="4">
        <v>47</v>
      </c>
      <c r="C6" s="4">
        <v>58.2</v>
      </c>
      <c r="D6" s="4">
        <v>46.4</v>
      </c>
      <c r="E6" s="4" t="s">
        <v>59</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
  <sheetViews>
    <sheetView workbookViewId="0">
      <selection activeCell="B1" sqref="B1"/>
    </sheetView>
  </sheetViews>
  <sheetFormatPr defaultRowHeight="14.4" x14ac:dyDescent="0.3"/>
  <cols>
    <col min="1" max="1" width="24" customWidth="1"/>
    <col min="2" max="2" width="38" customWidth="1"/>
    <col min="3" max="4" width="22" customWidth="1"/>
    <col min="5" max="5" width="46" customWidth="1"/>
  </cols>
  <sheetData>
    <row r="1" spans="1:5" x14ac:dyDescent="0.3">
      <c r="A1" s="1" t="s">
        <v>60</v>
      </c>
      <c r="B1" s="1" t="s">
        <v>61</v>
      </c>
      <c r="C1" s="1" t="s">
        <v>62</v>
      </c>
      <c r="D1" s="1" t="s">
        <v>63</v>
      </c>
      <c r="E1" s="1" t="s">
        <v>64</v>
      </c>
    </row>
    <row r="2" spans="1:5" x14ac:dyDescent="0.3">
      <c r="A2" s="2" t="s">
        <v>65</v>
      </c>
      <c r="B2" s="2" t="s">
        <v>66</v>
      </c>
      <c r="C2" s="2">
        <v>5.4192</v>
      </c>
      <c r="D2" s="2">
        <v>9.9014000000000006</v>
      </c>
      <c r="E2" s="2" t="s">
        <v>67</v>
      </c>
    </row>
    <row r="3" spans="1:5" x14ac:dyDescent="0.3">
      <c r="A3" s="3" t="s">
        <v>68</v>
      </c>
      <c r="B3" s="3" t="s">
        <v>69</v>
      </c>
      <c r="C3" s="3">
        <v>5.4321999999999999</v>
      </c>
      <c r="D3" s="3">
        <v>10.022600000000001</v>
      </c>
      <c r="E3" s="3" t="s">
        <v>70</v>
      </c>
    </row>
    <row r="4" spans="1:5" x14ac:dyDescent="0.3">
      <c r="A4" s="2" t="s">
        <v>71</v>
      </c>
      <c r="B4" s="2" t="s">
        <v>72</v>
      </c>
      <c r="C4" s="2">
        <v>6.1543999999999999</v>
      </c>
      <c r="D4" s="2">
        <v>9.0228999999999999</v>
      </c>
      <c r="E4" s="2" t="s">
        <v>73</v>
      </c>
    </row>
    <row r="5" spans="1:5" x14ac:dyDescent="0.3">
      <c r="A5" s="3" t="s">
        <v>74</v>
      </c>
      <c r="B5" s="3" t="s">
        <v>75</v>
      </c>
      <c r="C5" s="3">
        <v>5.2351000000000001</v>
      </c>
      <c r="D5" s="3">
        <v>9.1416000000000004</v>
      </c>
      <c r="E5" s="3" t="s">
        <v>76</v>
      </c>
    </row>
    <row r="6" spans="1:5" x14ac:dyDescent="0.3">
      <c r="A6" s="2" t="s">
        <v>77</v>
      </c>
      <c r="B6" s="2" t="s">
        <v>78</v>
      </c>
      <c r="C6" s="2">
        <v>5.6215999999999999</v>
      </c>
      <c r="D6" s="2">
        <v>9.5145999999999997</v>
      </c>
      <c r="E6" s="2" t="s">
        <v>70</v>
      </c>
    </row>
    <row r="7" spans="1:5" x14ac:dyDescent="0.3">
      <c r="A7" s="3" t="s">
        <v>79</v>
      </c>
      <c r="B7" s="3" t="s">
        <v>80</v>
      </c>
      <c r="C7" s="3">
        <v>5.2766000000000002</v>
      </c>
      <c r="D7" s="3">
        <v>9.0061999999999998</v>
      </c>
      <c r="E7" s="3" t="s">
        <v>81</v>
      </c>
    </row>
    <row r="8" spans="1:5" x14ac:dyDescent="0.3">
      <c r="A8" s="2" t="s">
        <v>82</v>
      </c>
      <c r="B8" s="2" t="s">
        <v>83</v>
      </c>
      <c r="C8" s="2">
        <v>5.2949000000000002</v>
      </c>
      <c r="D8" s="2">
        <v>9.8366000000000007</v>
      </c>
      <c r="E8" s="2" t="s">
        <v>70</v>
      </c>
    </row>
    <row r="9" spans="1:5" x14ac:dyDescent="0.3">
      <c r="A9" s="3" t="s">
        <v>84</v>
      </c>
      <c r="B9" s="3" t="s">
        <v>85</v>
      </c>
      <c r="C9" s="3">
        <v>5.7789999999999999</v>
      </c>
      <c r="D9" s="3">
        <v>11.5275</v>
      </c>
      <c r="E9" s="3" t="s">
        <v>86</v>
      </c>
    </row>
    <row r="10" spans="1:5" x14ac:dyDescent="0.3">
      <c r="A10" s="2" t="s">
        <v>87</v>
      </c>
      <c r="B10" s="2" t="s">
        <v>88</v>
      </c>
      <c r="C10" s="2">
        <v>7.3402000000000003</v>
      </c>
      <c r="D10" s="2">
        <v>13.180999999999999</v>
      </c>
      <c r="E10" s="2" t="s">
        <v>89</v>
      </c>
    </row>
    <row r="11" spans="1:5" x14ac:dyDescent="0.3">
      <c r="A11" s="5" t="s">
        <v>90</v>
      </c>
      <c r="B11" s="5" t="s">
        <v>91</v>
      </c>
      <c r="C11" s="5">
        <v>1E+20</v>
      </c>
      <c r="D11" s="5">
        <v>1E+20</v>
      </c>
      <c r="E11" s="5" t="s">
        <v>92</v>
      </c>
    </row>
    <row r="12" spans="1:5" x14ac:dyDescent="0.3">
      <c r="A12" s="2" t="s">
        <v>93</v>
      </c>
      <c r="B12" s="2" t="s">
        <v>94</v>
      </c>
      <c r="C12" s="2">
        <v>12.14</v>
      </c>
      <c r="D12" s="2">
        <v>17.940000000000001</v>
      </c>
      <c r="E12" s="2" t="s">
        <v>95</v>
      </c>
    </row>
    <row r="13" spans="1:5" x14ac:dyDescent="0.3">
      <c r="A13" s="3" t="s">
        <v>96</v>
      </c>
      <c r="B13" s="3" t="s">
        <v>97</v>
      </c>
      <c r="C13" s="3">
        <v>6.1082000000000001</v>
      </c>
      <c r="D13" s="3">
        <v>9.1228999999999996</v>
      </c>
      <c r="E13" s="3" t="s">
        <v>98</v>
      </c>
    </row>
    <row r="14" spans="1:5" x14ac:dyDescent="0.3">
      <c r="A14" s="2" t="s">
        <v>99</v>
      </c>
      <c r="B14" s="2" t="s">
        <v>100</v>
      </c>
      <c r="C14" s="2">
        <v>30.152000000000001</v>
      </c>
      <c r="D14" s="2">
        <v>350.09649999999999</v>
      </c>
      <c r="E14" s="2" t="s">
        <v>101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1"/>
  <sheetViews>
    <sheetView tabSelected="1" workbookViewId="0">
      <selection activeCell="R26" sqref="R26"/>
    </sheetView>
  </sheetViews>
  <sheetFormatPr defaultRowHeight="14.4" x14ac:dyDescent="0.3"/>
  <cols>
    <col min="1" max="1" width="13" customWidth="1"/>
    <col min="2" max="2" width="23" customWidth="1"/>
    <col min="3" max="3" width="38" customWidth="1"/>
    <col min="4" max="4" width="23" customWidth="1"/>
    <col min="5" max="5" width="22" customWidth="1"/>
    <col min="6" max="6" width="23" customWidth="1"/>
    <col min="7" max="7" width="18" customWidth="1"/>
    <col min="8" max="8" width="22" customWidth="1"/>
    <col min="9" max="9" width="35" customWidth="1"/>
    <col min="10" max="10" width="32" customWidth="1"/>
  </cols>
  <sheetData>
    <row r="1" spans="1:10" x14ac:dyDescent="0.3">
      <c r="A1" s="1" t="s">
        <v>102</v>
      </c>
      <c r="B1" s="1" t="s">
        <v>103</v>
      </c>
      <c r="C1" s="1" t="s">
        <v>104</v>
      </c>
      <c r="D1" s="1" t="s">
        <v>105</v>
      </c>
      <c r="E1" s="1" t="s">
        <v>106</v>
      </c>
      <c r="F1" s="1" t="s">
        <v>107</v>
      </c>
      <c r="G1" s="1" t="s">
        <v>108</v>
      </c>
      <c r="H1" s="1" t="s">
        <v>109</v>
      </c>
      <c r="I1" s="1" t="s">
        <v>110</v>
      </c>
      <c r="J1" s="1" t="s">
        <v>111</v>
      </c>
    </row>
    <row r="2" spans="1:10" x14ac:dyDescent="0.3">
      <c r="A2" s="2" t="s">
        <v>112</v>
      </c>
      <c r="B2" s="2" t="s">
        <v>113</v>
      </c>
      <c r="C2" s="2" t="s">
        <v>114</v>
      </c>
      <c r="D2" s="2">
        <v>1.075</v>
      </c>
      <c r="E2" s="2">
        <v>6.02</v>
      </c>
      <c r="F2" s="2">
        <v>4.0519999999999996</v>
      </c>
      <c r="G2" s="2" t="s">
        <v>115</v>
      </c>
      <c r="H2" s="2">
        <v>1E-3</v>
      </c>
      <c r="I2" s="2" t="s">
        <v>116</v>
      </c>
      <c r="J2" s="6" t="s">
        <v>117</v>
      </c>
    </row>
    <row r="3" spans="1:10" x14ac:dyDescent="0.3">
      <c r="A3" s="3" t="s">
        <v>118</v>
      </c>
      <c r="B3" s="3" t="s">
        <v>113</v>
      </c>
      <c r="C3" s="3" t="s">
        <v>119</v>
      </c>
      <c r="D3" s="3">
        <v>0.81299999999999994</v>
      </c>
      <c r="E3" s="3">
        <v>5.86</v>
      </c>
      <c r="F3" s="3">
        <v>4.3040000000000003</v>
      </c>
      <c r="G3" s="3" t="s">
        <v>120</v>
      </c>
      <c r="H3" s="3">
        <v>1.32E-2</v>
      </c>
      <c r="I3" s="3" t="s">
        <v>121</v>
      </c>
      <c r="J3" s="6" t="s">
        <v>117</v>
      </c>
    </row>
    <row r="4" spans="1:10" x14ac:dyDescent="0.3">
      <c r="A4" s="2" t="s">
        <v>122</v>
      </c>
      <c r="B4" s="2" t="s">
        <v>113</v>
      </c>
      <c r="C4" s="2" t="s">
        <v>123</v>
      </c>
      <c r="D4" s="2">
        <v>1.3080000000000001</v>
      </c>
      <c r="E4" s="2">
        <v>15.94</v>
      </c>
      <c r="F4" s="2">
        <v>6.6909999999999998</v>
      </c>
      <c r="G4" s="2" t="s">
        <v>124</v>
      </c>
      <c r="H4" s="2">
        <v>2.0000000000000001E-4</v>
      </c>
      <c r="I4" s="2" t="s">
        <v>125</v>
      </c>
      <c r="J4" s="2" t="s">
        <v>126</v>
      </c>
    </row>
    <row r="5" spans="1:10" x14ac:dyDescent="0.3">
      <c r="A5" s="3" t="s">
        <v>127</v>
      </c>
      <c r="B5" s="3" t="s">
        <v>113</v>
      </c>
      <c r="C5" s="3" t="s">
        <v>128</v>
      </c>
      <c r="D5" s="3">
        <v>1.909</v>
      </c>
      <c r="E5" s="3">
        <v>9.76</v>
      </c>
      <c r="F5" s="3">
        <v>3.3769999999999998</v>
      </c>
      <c r="G5" s="3" t="s">
        <v>129</v>
      </c>
      <c r="H5" s="3">
        <v>5.4899999999999997E-2</v>
      </c>
      <c r="I5" s="3" t="s">
        <v>130</v>
      </c>
      <c r="J5" s="6" t="s">
        <v>117</v>
      </c>
    </row>
    <row r="6" spans="1:10" x14ac:dyDescent="0.3">
      <c r="A6" s="2" t="s">
        <v>131</v>
      </c>
      <c r="B6" s="2" t="s">
        <v>113</v>
      </c>
      <c r="C6" s="2" t="s">
        <v>132</v>
      </c>
      <c r="D6" s="2">
        <v>1.03</v>
      </c>
      <c r="E6" s="2">
        <v>29.64</v>
      </c>
      <c r="F6" s="2">
        <v>5.399</v>
      </c>
      <c r="G6" s="2" t="s">
        <v>133</v>
      </c>
      <c r="H6" s="2">
        <v>1.0200000000000001E-2</v>
      </c>
      <c r="I6" s="2" t="s">
        <v>134</v>
      </c>
      <c r="J6" s="2" t="s">
        <v>126</v>
      </c>
    </row>
    <row r="7" spans="1:10" x14ac:dyDescent="0.3">
      <c r="A7" s="3" t="s">
        <v>135</v>
      </c>
      <c r="B7" s="3" t="s">
        <v>136</v>
      </c>
      <c r="C7" s="3" t="s">
        <v>137</v>
      </c>
      <c r="D7" s="3">
        <v>2.3239999999999998</v>
      </c>
      <c r="E7" s="7">
        <v>37.74</v>
      </c>
      <c r="F7" s="3">
        <v>5.6989999999999998</v>
      </c>
      <c r="G7" s="3" t="s">
        <v>138</v>
      </c>
      <c r="H7" s="3">
        <v>1.95E-2</v>
      </c>
      <c r="I7" s="3" t="s">
        <v>139</v>
      </c>
      <c r="J7" s="8" t="s">
        <v>140</v>
      </c>
    </row>
    <row r="8" spans="1:10" x14ac:dyDescent="0.3">
      <c r="A8" s="2" t="s">
        <v>141</v>
      </c>
      <c r="B8" s="2" t="s">
        <v>136</v>
      </c>
      <c r="C8" s="2" t="s">
        <v>142</v>
      </c>
      <c r="D8" s="2">
        <v>2.1960000000000002</v>
      </c>
      <c r="E8" s="9">
        <v>45.41</v>
      </c>
      <c r="F8" s="2">
        <v>7.2309999999999999</v>
      </c>
      <c r="G8" s="2" t="s">
        <v>143</v>
      </c>
      <c r="H8" s="2">
        <v>0</v>
      </c>
      <c r="I8" s="2" t="s">
        <v>144</v>
      </c>
      <c r="J8" s="8" t="s">
        <v>140</v>
      </c>
    </row>
    <row r="9" spans="1:10" x14ac:dyDescent="0.3">
      <c r="A9" s="3" t="s">
        <v>145</v>
      </c>
      <c r="B9" s="3" t="s">
        <v>136</v>
      </c>
      <c r="C9" s="3" t="s">
        <v>146</v>
      </c>
      <c r="D9" s="3">
        <v>1.968</v>
      </c>
      <c r="E9" s="7">
        <v>41.32</v>
      </c>
      <c r="F9" s="3">
        <v>7.4480000000000004</v>
      </c>
      <c r="G9" s="3" t="s">
        <v>147</v>
      </c>
      <c r="H9" s="3">
        <v>2.7000000000000001E-3</v>
      </c>
      <c r="I9" s="3" t="s">
        <v>148</v>
      </c>
      <c r="J9" s="8" t="s">
        <v>140</v>
      </c>
    </row>
    <row r="10" spans="1:10" x14ac:dyDescent="0.3">
      <c r="A10" s="2" t="s">
        <v>149</v>
      </c>
      <c r="B10" s="2" t="s">
        <v>136</v>
      </c>
      <c r="C10" s="2" t="s">
        <v>150</v>
      </c>
      <c r="D10" s="2">
        <v>2.0179999999999998</v>
      </c>
      <c r="E10" s="9">
        <v>36.01</v>
      </c>
      <c r="F10" s="2">
        <v>5.7140000000000004</v>
      </c>
      <c r="G10" s="2" t="s">
        <v>151</v>
      </c>
      <c r="H10" s="2">
        <v>2.0000000000000001E-4</v>
      </c>
      <c r="I10" s="2" t="s">
        <v>152</v>
      </c>
      <c r="J10" s="8" t="s">
        <v>140</v>
      </c>
    </row>
    <row r="11" spans="1:10" x14ac:dyDescent="0.3">
      <c r="A11" s="3" t="s">
        <v>153</v>
      </c>
      <c r="B11" s="3" t="s">
        <v>136</v>
      </c>
      <c r="C11" s="3" t="s">
        <v>154</v>
      </c>
      <c r="D11" s="3">
        <v>2.0230000000000001</v>
      </c>
      <c r="E11" s="7">
        <v>40.090000000000003</v>
      </c>
      <c r="F11" s="3">
        <v>6.7329999999999997</v>
      </c>
      <c r="G11" s="3" t="s">
        <v>155</v>
      </c>
      <c r="H11" s="3">
        <v>5.9999999999999995E-4</v>
      </c>
      <c r="I11" s="3" t="s">
        <v>156</v>
      </c>
      <c r="J11" s="8" t="s">
        <v>140</v>
      </c>
    </row>
    <row r="13" spans="1:10" x14ac:dyDescent="0.3">
      <c r="A13" s="10" t="s">
        <v>157</v>
      </c>
    </row>
    <row r="14" spans="1:10" x14ac:dyDescent="0.3">
      <c r="A14" s="11" t="s">
        <v>158</v>
      </c>
      <c r="B14" s="12"/>
      <c r="C14" s="12"/>
      <c r="D14" s="12"/>
      <c r="E14" s="12"/>
      <c r="F14" s="12"/>
      <c r="G14" s="12"/>
      <c r="H14" s="12"/>
      <c r="I14" s="12"/>
      <c r="J14" s="12"/>
    </row>
    <row r="15" spans="1:10" x14ac:dyDescent="0.3">
      <c r="A15" s="12"/>
      <c r="B15" s="12"/>
      <c r="C15" s="12"/>
      <c r="D15" s="12"/>
      <c r="E15" s="12"/>
      <c r="F15" s="12"/>
      <c r="G15" s="12"/>
      <c r="H15" s="12"/>
      <c r="I15" s="12"/>
      <c r="J15" s="12"/>
    </row>
    <row r="16" spans="1:10" x14ac:dyDescent="0.3">
      <c r="A16" s="12"/>
      <c r="B16" s="12"/>
      <c r="C16" s="12"/>
      <c r="D16" s="12"/>
      <c r="E16" s="12"/>
      <c r="F16" s="12"/>
      <c r="G16" s="12"/>
      <c r="H16" s="12"/>
      <c r="I16" s="12"/>
      <c r="J16" s="12"/>
    </row>
    <row r="17" spans="1:10" x14ac:dyDescent="0.3">
      <c r="A17" s="12"/>
      <c r="B17" s="12"/>
      <c r="C17" s="12"/>
      <c r="D17" s="12"/>
      <c r="E17" s="12"/>
      <c r="F17" s="12"/>
      <c r="G17" s="12"/>
      <c r="H17" s="12"/>
      <c r="I17" s="12"/>
      <c r="J17" s="12"/>
    </row>
    <row r="18" spans="1:10" x14ac:dyDescent="0.3">
      <c r="A18" s="12"/>
      <c r="B18" s="12"/>
      <c r="C18" s="12"/>
      <c r="D18" s="12"/>
      <c r="E18" s="12"/>
      <c r="F18" s="12"/>
      <c r="G18" s="12"/>
      <c r="H18" s="12"/>
      <c r="I18" s="12"/>
      <c r="J18" s="12"/>
    </row>
    <row r="19" spans="1:10" x14ac:dyDescent="0.3">
      <c r="A19" s="12"/>
      <c r="B19" s="12"/>
      <c r="C19" s="12"/>
      <c r="D19" s="12"/>
      <c r="E19" s="12"/>
      <c r="F19" s="12"/>
      <c r="G19" s="12"/>
      <c r="H19" s="12"/>
      <c r="I19" s="12"/>
      <c r="J19" s="12"/>
    </row>
    <row r="20" spans="1:10" x14ac:dyDescent="0.3">
      <c r="A20" s="12"/>
      <c r="B20" s="12"/>
      <c r="C20" s="12"/>
      <c r="D20" s="12"/>
      <c r="E20" s="12"/>
      <c r="F20" s="12"/>
      <c r="G20" s="12"/>
      <c r="H20" s="12"/>
      <c r="I20" s="12"/>
      <c r="J20" s="12"/>
    </row>
    <row r="21" spans="1:10" x14ac:dyDescent="0.3">
      <c r="A21" s="12"/>
      <c r="B21" s="12"/>
      <c r="C21" s="12"/>
      <c r="D21" s="12"/>
      <c r="E21" s="12"/>
      <c r="F21" s="12"/>
      <c r="G21" s="12"/>
      <c r="H21" s="12"/>
      <c r="I21" s="12"/>
      <c r="J21" s="12"/>
    </row>
  </sheetData>
  <mergeCells count="1">
    <mergeCell ref="A14:J2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Master_Training_Telemetry</vt:lpstr>
      <vt:lpstr>CS14_Physical_Audit</vt:lpstr>
      <vt:lpstr>Knowledge_Incorporation_Bench</vt:lpstr>
      <vt:lpstr>Continual_Retention_Progression</vt:lpstr>
      <vt:lpstr>Governance_Entropy_Evaluation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Rebba Krrish</cp:lastModifiedBy>
  <dcterms:created xsi:type="dcterms:W3CDTF">2026-10-11T14:59:49Z</dcterms:created>
  <dcterms:modified xsi:type="dcterms:W3CDTF">2026-10-11T15:11:26Z</dcterms:modified>
</cp:coreProperties>
</file>